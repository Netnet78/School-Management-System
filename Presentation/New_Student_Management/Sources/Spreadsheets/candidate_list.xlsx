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oding Projects\C# Projects\Student_Management\Sources\Spreadsheets\"/>
    </mc:Choice>
  </mc:AlternateContent>
  <xr:revisionPtr revIDLastSave="0" documentId="13_ncr:1_{224361E3-168C-492D-962C-627A334DDD8F}" xr6:coauthVersionLast="47" xr6:coauthVersionMax="47" xr10:uidLastSave="{00000000-0000-0000-0000-000000000000}"/>
  <bookViews>
    <workbookView xWindow="-120" yWindow="-120" windowWidth="29040" windowHeight="15720" firstSheet="2" activeTab="4" xr2:uid="{E51BC222-ABB5-406A-BACB-6DFB53F1EC79}"/>
  </bookViews>
  <sheets>
    <sheet name="Exam Room 1" sheetId="14" state="hidden" r:id="rId1"/>
    <sheet name="Exam Room 2" sheetId="13" state="hidden" r:id="rId2"/>
    <sheet name="Computer" sheetId="7" r:id="rId3"/>
    <sheet name="Electrical" sheetId="16" r:id="rId4"/>
    <sheet name="CNC" sheetId="17" r:id="rId5"/>
    <sheet name="Result" sheetId="9" state="hidden" r:id="rId6"/>
  </sheets>
  <definedNames>
    <definedName name="Attendant_Condition" localSheetId="1">'Exam Room 2'!#REF!</definedName>
    <definedName name="Attendant_Gender" localSheetId="1">'Exam Room 2'!$D$10:$D$40</definedName>
    <definedName name="Attendant_names" localSheetId="1">'Exam Room 2'!$B$42:$C$42</definedName>
    <definedName name="Attendant_Numbers" localSheetId="1">'Exam Room 2'!$A$42</definedName>
    <definedName name="Attendant_Rank" localSheetId="1">'Exam Room 2'!#REF!</definedName>
    <definedName name="Attendant_Total_Score" localSheetId="1">'Exam Room 2'!#REF!</definedName>
    <definedName name="Computer_Genders" localSheetId="0">'Exam Room 1'!#REF!</definedName>
    <definedName name="Computer_Numbers" localSheetId="0">'Exam Room 1'!#REF!</definedName>
    <definedName name="GregorianReportDate">Computer!$G$13,Electrical!$G$13,CNC!$G$13</definedName>
    <definedName name="LunarReportDate">Computer!$G$12,CNC!$G$12,Electrical!$G$12</definedName>
    <definedName name="StudyYear">Computer!$A$7,Electrical!$A$7,CNC!$A$7</definedName>
    <definedName name="SummaryCell" localSheetId="4">CNC!$A$11</definedName>
    <definedName name="SummaryCell" localSheetId="2">Computer!$A$11</definedName>
    <definedName name="SummaryCell" localSheetId="3">Electrical!$A$11</definedName>
    <definedName name="TotalFemaleStudents" localSheetId="4">CNC!$B$13</definedName>
    <definedName name="TotalFemaleStudents" localSheetId="2">Computer!$B$13</definedName>
    <definedName name="TotalFemaleStudents" localSheetId="3">Electrical!$B$13</definedName>
    <definedName name="TotalStudents" localSheetId="4">CNC!$B$12</definedName>
    <definedName name="TotalStudents" localSheetId="2">Computer!$B$12</definedName>
    <definedName name="TotalStudents" localSheetId="3">Electrical!$B$12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7" l="1"/>
  <c r="F10" i="17"/>
  <c r="F10" i="16"/>
  <c r="A11" i="14" l="1"/>
  <c r="A12" i="14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F10" i="7"/>
  <c r="A10" i="9"/>
  <c r="J10" i="9"/>
  <c r="K13" i="9" s="1"/>
  <c r="L13" i="9" s="1"/>
  <c r="K10" i="9"/>
  <c r="L10" i="9"/>
  <c r="J11" i="9"/>
  <c r="J12" i="9"/>
  <c r="J13" i="9"/>
  <c r="J14" i="9"/>
  <c r="K14" i="9"/>
  <c r="L14" i="9"/>
  <c r="J15" i="9"/>
  <c r="J16" i="9"/>
  <c r="J17" i="9"/>
  <c r="J18" i="9"/>
  <c r="K18" i="9"/>
  <c r="L18" i="9"/>
  <c r="J19" i="9"/>
  <c r="J20" i="9"/>
  <c r="J21" i="9"/>
  <c r="J22" i="9"/>
  <c r="K22" i="9"/>
  <c r="L22" i="9"/>
  <c r="J23" i="9"/>
  <c r="J24" i="9"/>
  <c r="J25" i="9"/>
  <c r="J26" i="9"/>
  <c r="K26" i="9"/>
  <c r="L26" i="9"/>
  <c r="J27" i="9"/>
  <c r="J28" i="9"/>
  <c r="J29" i="9"/>
  <c r="J30" i="9"/>
  <c r="K30" i="9"/>
  <c r="L30" i="9"/>
  <c r="J31" i="9"/>
  <c r="J32" i="9"/>
  <c r="J33" i="9"/>
  <c r="J34" i="9"/>
  <c r="K34" i="9"/>
  <c r="L34" i="9"/>
  <c r="J35" i="9"/>
  <c r="J36" i="9"/>
  <c r="J37" i="9"/>
  <c r="J38" i="9"/>
  <c r="K38" i="9"/>
  <c r="L38" i="9"/>
  <c r="J39" i="9"/>
  <c r="J40" i="9"/>
  <c r="J41" i="9"/>
  <c r="J42" i="9"/>
  <c r="K42" i="9"/>
  <c r="L42" i="9"/>
  <c r="J43" i="9"/>
  <c r="J44" i="9"/>
  <c r="J45" i="9"/>
  <c r="J46" i="9"/>
  <c r="K46" i="9"/>
  <c r="L46" i="9"/>
  <c r="J47" i="9"/>
  <c r="J48" i="9"/>
  <c r="J49" i="9"/>
  <c r="J50" i="9"/>
  <c r="K50" i="9"/>
  <c r="L50" i="9"/>
  <c r="J51" i="9"/>
  <c r="J52" i="9"/>
  <c r="J53" i="9"/>
  <c r="J54" i="9"/>
  <c r="K54" i="9"/>
  <c r="L54" i="9"/>
  <c r="J55" i="9"/>
  <c r="J56" i="9"/>
  <c r="J57" i="9"/>
  <c r="J58" i="9"/>
  <c r="K58" i="9"/>
  <c r="L58" i="9"/>
  <c r="J59" i="9"/>
  <c r="J60" i="9"/>
  <c r="J61" i="9"/>
  <c r="J62" i="9"/>
  <c r="K62" i="9"/>
  <c r="L62" i="9"/>
  <c r="J63" i="9"/>
  <c r="J64" i="9"/>
  <c r="J65" i="9"/>
  <c r="J66" i="9"/>
  <c r="K66" i="9"/>
  <c r="L66" i="9"/>
  <c r="J67" i="9"/>
  <c r="J68" i="9"/>
  <c r="J69" i="9"/>
  <c r="J70" i="9"/>
  <c r="K70" i="9"/>
  <c r="L70" i="9"/>
  <c r="J71" i="9"/>
  <c r="J72" i="9"/>
  <c r="J73" i="9"/>
  <c r="J74" i="9"/>
  <c r="K74" i="9"/>
  <c r="L74" i="9"/>
  <c r="J75" i="9"/>
  <c r="J76" i="9"/>
  <c r="J77" i="9"/>
  <c r="J78" i="9"/>
  <c r="K78" i="9"/>
  <c r="L78" i="9"/>
  <c r="J79" i="9"/>
  <c r="J80" i="9"/>
  <c r="J81" i="9"/>
  <c r="J82" i="9"/>
  <c r="K82" i="9"/>
  <c r="L82" i="9"/>
  <c r="J83" i="9"/>
  <c r="J84" i="9"/>
  <c r="J85" i="9"/>
  <c r="J86" i="9"/>
  <c r="K86" i="9"/>
  <c r="L86" i="9"/>
  <c r="A11" i="9"/>
  <c r="H85" i="14" l="1"/>
  <c r="A33" i="14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10" i="13" s="1"/>
  <c r="K84" i="9"/>
  <c r="L84" i="9" s="1"/>
  <c r="K76" i="9"/>
  <c r="L76" i="9" s="1"/>
  <c r="K68" i="9"/>
  <c r="L68" i="9" s="1"/>
  <c r="K56" i="9"/>
  <c r="L56" i="9" s="1"/>
  <c r="K48" i="9"/>
  <c r="L48" i="9" s="1"/>
  <c r="K40" i="9"/>
  <c r="L40" i="9" s="1"/>
  <c r="K32" i="9"/>
  <c r="L32" i="9" s="1"/>
  <c r="K24" i="9"/>
  <c r="L24" i="9" s="1"/>
  <c r="K12" i="9"/>
  <c r="L12" i="9" s="1"/>
  <c r="K80" i="9"/>
  <c r="L80" i="9" s="1"/>
  <c r="K72" i="9"/>
  <c r="L72" i="9" s="1"/>
  <c r="K64" i="9"/>
  <c r="L64" i="9" s="1"/>
  <c r="K60" i="9"/>
  <c r="L60" i="9" s="1"/>
  <c r="K52" i="9"/>
  <c r="L52" i="9" s="1"/>
  <c r="K44" i="9"/>
  <c r="L44" i="9" s="1"/>
  <c r="K36" i="9"/>
  <c r="L36" i="9" s="1"/>
  <c r="K28" i="9"/>
  <c r="L28" i="9" s="1"/>
  <c r="K20" i="9"/>
  <c r="L20" i="9" s="1"/>
  <c r="K16" i="9"/>
  <c r="L16" i="9" s="1"/>
  <c r="K83" i="9"/>
  <c r="L83" i="9" s="1"/>
  <c r="K79" i="9"/>
  <c r="L79" i="9" s="1"/>
  <c r="K75" i="9"/>
  <c r="L75" i="9" s="1"/>
  <c r="K71" i="9"/>
  <c r="L71" i="9" s="1"/>
  <c r="K67" i="9"/>
  <c r="L67" i="9" s="1"/>
  <c r="K63" i="9"/>
  <c r="L63" i="9" s="1"/>
  <c r="K59" i="9"/>
  <c r="L59" i="9" s="1"/>
  <c r="K55" i="9"/>
  <c r="L55" i="9" s="1"/>
  <c r="K51" i="9"/>
  <c r="L51" i="9" s="1"/>
  <c r="K47" i="9"/>
  <c r="L47" i="9" s="1"/>
  <c r="K43" i="9"/>
  <c r="L43" i="9" s="1"/>
  <c r="K39" i="9"/>
  <c r="L39" i="9" s="1"/>
  <c r="K35" i="9"/>
  <c r="L35" i="9" s="1"/>
  <c r="K31" i="9"/>
  <c r="L31" i="9" s="1"/>
  <c r="K27" i="9"/>
  <c r="L27" i="9" s="1"/>
  <c r="K23" i="9"/>
  <c r="L23" i="9" s="1"/>
  <c r="K19" i="9"/>
  <c r="L19" i="9" s="1"/>
  <c r="K15" i="9"/>
  <c r="L15" i="9" s="1"/>
  <c r="K11" i="9"/>
  <c r="L11" i="9" s="1"/>
  <c r="K85" i="9"/>
  <c r="L85" i="9" s="1"/>
  <c r="K81" i="9"/>
  <c r="L81" i="9" s="1"/>
  <c r="K77" i="9"/>
  <c r="L77" i="9" s="1"/>
  <c r="K73" i="9"/>
  <c r="L73" i="9" s="1"/>
  <c r="K69" i="9"/>
  <c r="L69" i="9" s="1"/>
  <c r="K65" i="9"/>
  <c r="L65" i="9" s="1"/>
  <c r="K61" i="9"/>
  <c r="L61" i="9" s="1"/>
  <c r="K57" i="9"/>
  <c r="L57" i="9" s="1"/>
  <c r="K53" i="9"/>
  <c r="L53" i="9" s="1"/>
  <c r="K49" i="9"/>
  <c r="L49" i="9" s="1"/>
  <c r="K45" i="9"/>
  <c r="L45" i="9" s="1"/>
  <c r="K41" i="9"/>
  <c r="L41" i="9" s="1"/>
  <c r="K37" i="9"/>
  <c r="L37" i="9" s="1"/>
  <c r="K33" i="9"/>
  <c r="L33" i="9" s="1"/>
  <c r="K29" i="9"/>
  <c r="L29" i="9" s="1"/>
  <c r="K25" i="9"/>
  <c r="L25" i="9" s="1"/>
  <c r="K21" i="9"/>
  <c r="L21" i="9" s="1"/>
  <c r="K17" i="9"/>
  <c r="L17" i="9" s="1"/>
  <c r="A12" i="9"/>
  <c r="A13" i="9"/>
  <c r="A14" i="9"/>
  <c r="A11" i="13" l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H50" i="13"/>
  <c r="A15" i="9"/>
  <c r="A16" i="9"/>
  <c r="A17" i="9" s="1"/>
  <c r="A18" i="9" s="1"/>
  <c r="A19" i="9" s="1"/>
  <c r="A20" i="9"/>
  <c r="A21" i="9"/>
  <c r="A22" i="9" s="1"/>
  <c r="A23" i="9" s="1"/>
  <c r="A24" i="9" s="1"/>
  <c r="A25" i="9" s="1"/>
  <c r="A26" i="9"/>
  <c r="A27" i="9"/>
  <c r="A28" i="9"/>
  <c r="A29" i="9"/>
  <c r="A30" i="9"/>
  <c r="A31" i="9"/>
  <c r="A32" i="9"/>
  <c r="A33" i="9"/>
  <c r="A34" i="9"/>
  <c r="A35" i="9"/>
  <c r="A36" i="9"/>
  <c r="A37" i="9" s="1"/>
  <c r="A38" i="9"/>
  <c r="A39" i="9"/>
  <c r="A40" i="9"/>
  <c r="A41" i="9"/>
  <c r="A42" i="9"/>
  <c r="A43" i="9"/>
  <c r="A44" i="9"/>
  <c r="A45" i="9" s="1"/>
  <c r="A46" i="9"/>
  <c r="A47" i="9"/>
  <c r="A48" i="9"/>
  <c r="A49" i="9"/>
  <c r="A50" i="9"/>
  <c r="A51" i="9"/>
  <c r="A52" i="9"/>
  <c r="A53" i="9" s="1"/>
  <c r="A54" i="9"/>
  <c r="A55" i="9"/>
  <c r="A56" i="9"/>
  <c r="A57" i="9" s="1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M95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<sst xmlns="http://schemas.openxmlformats.org/spreadsheetml/2006/main" count="909" uniqueCount="232">
  <si>
    <t>ព្រះរាជាណាចក្រកម្ពុជា</t>
  </si>
  <si>
    <t>ជាតិ សាសនា ព្រះមហាក្សត្រ</t>
  </si>
  <si>
    <t>មន្ទីរអប់រំ យុវជន និងកីឡា ខេត្តបន្ទាយមានជ័យ</t>
  </si>
  <si>
    <t>មណ្ឌលប្រឡង៖ វិ.ច.ប.ឯ ដុនបូស្កូប៉ោយប៉ែត</t>
  </si>
  <si>
    <t>បន្ទប់លេខ៖ ០១</t>
  </si>
  <si>
    <t>បញ្ជីរាយនាមសិស្សចូលរៀនបច្ចេកទេស កម្រិត១ ផ្នែកកុំព្យូទ័រ</t>
  </si>
  <si>
    <t>ឆ្នាំសិក្សា ២០២៤-២០២៥</t>
  </si>
  <si>
    <t>លេខតុ</t>
  </si>
  <si>
    <t xml:space="preserve">គោត្តនាម </t>
  </si>
  <si>
    <t xml:space="preserve">និងនាម </t>
  </si>
  <si>
    <t>ភេទ</t>
  </si>
  <si>
    <t>ថ្ងៃខែឆ្នាំកំណើត</t>
  </si>
  <si>
    <t>មកពីសាលា</t>
  </si>
  <si>
    <t>ចូលជំនាញ</t>
  </si>
  <si>
    <t>ហត្ថាលេខា</t>
  </si>
  <si>
    <t>ផ្សេងៗ</t>
  </si>
  <si>
    <t>លឺត</t>
  </si>
  <si>
    <t>ម៉េងសេង</t>
  </si>
  <si>
    <t>ប</t>
  </si>
  <si>
    <t>វិទ្យាល័យអន្តរវិជ្ជា</t>
  </si>
  <si>
    <t>កុំព្យូទ័រ</t>
  </si>
  <si>
    <t>រដ្ឋា</t>
  </si>
  <si>
    <t>ស្រីប៉</t>
  </si>
  <si>
    <t>ស</t>
  </si>
  <si>
    <t>វិទ្យាល័យទួលប្រសាទ</t>
  </si>
  <si>
    <t>លីន</t>
  </si>
  <si>
    <t>វិសាល</t>
  </si>
  <si>
    <t>វិទ្យាល័យសុវណ្ណភូមិ ២</t>
  </si>
  <si>
    <t>ឡាយ</t>
  </si>
  <si>
    <t>លីនដា</t>
  </si>
  <si>
    <t>ឆាន់</t>
  </si>
  <si>
    <t>ស៊ីវម៉ី</t>
  </si>
  <si>
    <t>ចាន់</t>
  </si>
  <si>
    <t>ស្រីល័ក្ខ</t>
  </si>
  <si>
    <t>កែវ</t>
  </si>
  <si>
    <t>សុផាន់នី</t>
  </si>
  <si>
    <t>សុផាន់ណា</t>
  </si>
  <si>
    <t>ប៉ែន</t>
  </si>
  <si>
    <t>សុឃីម</t>
  </si>
  <si>
    <t>នី</t>
  </si>
  <si>
    <t>ស្រីពេជ</t>
  </si>
  <si>
    <t>វិ.ច.ប.ឯ ដុនបូស្កូប៉ោយប៉ែត</t>
  </si>
  <si>
    <t>ស្នាក់ក្នុងចាស់</t>
  </si>
  <si>
    <t>ចន</t>
  </si>
  <si>
    <t>ស៊ីណាង</t>
  </si>
  <si>
    <t>ផាង</t>
  </si>
  <si>
    <t>ស៊ីញអាង</t>
  </si>
  <si>
    <t>សាលាឥស្សរយស</t>
  </si>
  <si>
    <t>យ៉ង</t>
  </si>
  <si>
    <t>សៀវយីង</t>
  </si>
  <si>
    <t>វិទ្យាល័យពន្លកខ្មែរ</t>
  </si>
  <si>
    <t>ជីន</t>
  </si>
  <si>
    <t>ធារ៉ា</t>
  </si>
  <si>
    <t>មជ្ឈមណ្ឌលម៉េងហួណ័រវេស</t>
  </si>
  <si>
    <t>ហាន</t>
  </si>
  <si>
    <t>សុផារីកា</t>
  </si>
  <si>
    <t>វែង</t>
  </si>
  <si>
    <t>ចាន់ធីតា</t>
  </si>
  <si>
    <t>ម៉េកានិច</t>
  </si>
  <si>
    <t>យាង</t>
  </si>
  <si>
    <t>ណាវី</t>
  </si>
  <si>
    <t>អនុវិទ្យាល័យផ្សារព្រំ</t>
  </si>
  <si>
    <t>ហ៊ុន</t>
  </si>
  <si>
    <t>សាឡូម៉ូន</t>
  </si>
  <si>
    <t>វិទ្យាល័យសិង្ហ</t>
  </si>
  <si>
    <t>កុសល</t>
  </si>
  <si>
    <t>ស៊ីណា</t>
  </si>
  <si>
    <t>ដន</t>
  </si>
  <si>
    <t>សុខយី</t>
  </si>
  <si>
    <t>ឈួង</t>
  </si>
  <si>
    <t>សេងហ៊ុយ</t>
  </si>
  <si>
    <t>យ៉ាន</t>
  </si>
  <si>
    <t>សុវណ្ណណយ</t>
  </si>
  <si>
    <t>ឡេង</t>
  </si>
  <si>
    <t>សុវណ្ណតារា</t>
  </si>
  <si>
    <t>ម៉ុះ</t>
  </si>
  <si>
    <t>សុខលាបភា</t>
  </si>
  <si>
    <t>ស៊ុន</t>
  </si>
  <si>
    <t>សុខនី</t>
  </si>
  <si>
    <t>រ៉ាន់</t>
  </si>
  <si>
    <t>រ៉ា</t>
  </si>
  <si>
    <t>ខាត់</t>
  </si>
  <si>
    <t>សំណាង</t>
  </si>
  <si>
    <t>វិទ្យាល័យគីឡូម៉ែត្រលេខ៤</t>
  </si>
  <si>
    <t>ស្នាក់ក្នុងថ្មី</t>
  </si>
  <si>
    <t>សុម៉ាវត្តី</t>
  </si>
  <si>
    <t>ទូច</t>
  </si>
  <si>
    <t>ស្រីមាស</t>
  </si>
  <si>
    <t>ធរ៍</t>
  </si>
  <si>
    <t>វិធាន</t>
  </si>
  <si>
    <t>ស៊ូ</t>
  </si>
  <si>
    <t>គង់គា</t>
  </si>
  <si>
    <t>នេត</t>
  </si>
  <si>
    <t>សុធារី</t>
  </si>
  <si>
    <t>តាន់</t>
  </si>
  <si>
    <t>ផេងអាន</t>
  </si>
  <si>
    <t>ឈឿន</t>
  </si>
  <si>
    <t>មេសា</t>
  </si>
  <si>
    <t>ផុន</t>
  </si>
  <si>
    <t>សុផាន់</t>
  </si>
  <si>
    <t>វិទ្យាល័យបន្ទាយមានរិទ្ធ</t>
  </si>
  <si>
    <t>អ៊ី</t>
  </si>
  <si>
    <t>លីហ្វុង</t>
  </si>
  <si>
    <t>អនុវិទ្យាល័យចុងវ៉ា</t>
  </si>
  <si>
    <t>បន្ទប់លេខ៖ ០២</t>
  </si>
  <si>
    <t>បញ្ជីរាយនាមសិស្សចូលរៀនឆ្នាំទី១ កម្រិត១ ឆ្នាំសិក្សា ២០២៤-២០២៥</t>
  </si>
  <si>
    <t>សម័យប្រឡង៖ ១២ កញ្ញា ២០២៤</t>
  </si>
  <si>
    <t>សុ</t>
  </si>
  <si>
    <t>កុយ</t>
  </si>
  <si>
    <t>វិទ្យាល័យអូរឬស្សី</t>
  </si>
  <si>
    <t>មុំ</t>
  </si>
  <si>
    <t>រ៉ាម៉ន</t>
  </si>
  <si>
    <t>សាក់</t>
  </si>
  <si>
    <t>សុភា</t>
  </si>
  <si>
    <t>ផាន់</t>
  </si>
  <si>
    <t>សម្ភស្ស</t>
  </si>
  <si>
    <t>វិទ្យាល័យអូរឬស្សីលើ</t>
  </si>
  <si>
    <t>ខៀវ</t>
  </si>
  <si>
    <t>ហ្គេចណៃ</t>
  </si>
  <si>
    <t>វិទ្យាល័យសម្ដេចឳ</t>
  </si>
  <si>
    <t>នីម</t>
  </si>
  <si>
    <t>ចំរើន</t>
  </si>
  <si>
    <t>វិទ្យាល័យអូរជ្រៅ</t>
  </si>
  <si>
    <t>អេង</t>
  </si>
  <si>
    <t>លាភហេង</t>
  </si>
  <si>
    <t>វិទ្យាល័យព្រះមុនីវង្ស</t>
  </si>
  <si>
    <t>ផន</t>
  </si>
  <si>
    <t>វិទ្យាល័យបាលិលេយ្យ</t>
  </si>
  <si>
    <t>អែម</t>
  </si>
  <si>
    <t>លីហួ</t>
  </si>
  <si>
    <t>វិទ្យាល័យប៉ោយប៉ែតក្រុង</t>
  </si>
  <si>
    <t>សរ</t>
  </si>
  <si>
    <t>លីណា</t>
  </si>
  <si>
    <t>ឆាយ</t>
  </si>
  <si>
    <t>មីនា</t>
  </si>
  <si>
    <t>ហ៊ួ</t>
  </si>
  <si>
    <t>ផាន់នី</t>
  </si>
  <si>
    <t>អយ</t>
  </si>
  <si>
    <t>មេត្តា</t>
  </si>
  <si>
    <t>ណែម</t>
  </si>
  <si>
    <t>បូរី</t>
  </si>
  <si>
    <t>អគ្គិសនី</t>
  </si>
  <si>
    <t>ថន</t>
  </si>
  <si>
    <t>វរៈបុត្រ</t>
  </si>
  <si>
    <t>បញ្ញា</t>
  </si>
  <si>
    <t>សុខរក្សា</t>
  </si>
  <si>
    <t>ដាវីត</t>
  </si>
  <si>
    <t>វិទ្យាល័យបន្សាយរាក់</t>
  </si>
  <si>
    <t>សៀង</t>
  </si>
  <si>
    <t>មករា</t>
  </si>
  <si>
    <t>ធួក</t>
  </si>
  <si>
    <t>ប៊ុនរតនា</t>
  </si>
  <si>
    <t>វិទ្យាល័យតាំងយ៉</t>
  </si>
  <si>
    <t>ហ៊ាន</t>
  </si>
  <si>
    <t>ម៉េងហួត</t>
  </si>
  <si>
    <t>ហ៊ួក</t>
  </si>
  <si>
    <t>អូន</t>
  </si>
  <si>
    <t>ស្រីពៅ</t>
  </si>
  <si>
    <t>ទ្រី</t>
  </si>
  <si>
    <t>ពិសី</t>
  </si>
  <si>
    <t>ហម</t>
  </si>
  <si>
    <t>សុខឡាយ</t>
  </si>
  <si>
    <t>ថា</t>
  </si>
  <si>
    <t>ថេ</t>
  </si>
  <si>
    <t>មិញ</t>
  </si>
  <si>
    <t>សេក</t>
  </si>
  <si>
    <t>ស្រីម៉ៅ</t>
  </si>
  <si>
    <t>គង់</t>
  </si>
  <si>
    <t>គីមហុង</t>
  </si>
  <si>
    <t>វិទ្យាល័យស្ដៅសន្តិភាព</t>
  </si>
  <si>
    <t>មួង</t>
  </si>
  <si>
    <t>វាសនា</t>
  </si>
  <si>
    <t>វិទ្យាល័យហ៊ុនសែនសៀមរាប</t>
  </si>
  <si>
    <t>ម៉េងសុង</t>
  </si>
  <si>
    <t>នាង</t>
  </si>
  <si>
    <t>ស្រីណុច</t>
  </si>
  <si>
    <t>ឆ្នាំសិក្សា ២០២៥-២០២៦</t>
  </si>
  <si>
    <t>ល.រ</t>
  </si>
  <si>
    <t>អាយុ</t>
  </si>
  <si>
    <t>បានប្រឡងជាប់សញ្ញាបត្របឋមសិក្សាបឋមភូមិ</t>
  </si>
  <si>
    <t>មណ្ឌល</t>
  </si>
  <si>
    <t>ស.ប្រឡង</t>
  </si>
  <si>
    <t>លេខបន្ទប់</t>
  </si>
  <si>
    <t>រ័ត្ន</t>
  </si>
  <si>
    <t>ស៊ីញម៉េងយូ</t>
  </si>
  <si>
    <t>វិ.បាលិលេយ្យ</t>
  </si>
  <si>
    <t>បាលិលេយ្យ</t>
  </si>
  <si>
    <t xml:space="preserve"> ថ្ងៃ សុក្រ  ១១កើត  ខែភទ្របទ  ឆ្នាំរោង ឆស័ក ព.ស.២៥៦៨</t>
  </si>
  <si>
    <t xml:space="preserve">   ដុនបូស្កូប៉ោយប៉ែត ថ្ងៃទី១៣   ខែកញ្ញា    ឆ្នាំ២០២៤</t>
  </si>
  <si>
    <t>អ្នកធ្វើតារាង</t>
  </si>
  <si>
    <t>បានឃើញ និង ឯកភាព</t>
  </si>
  <si>
    <t>នាយកវិទ្យាល័យ</t>
  </si>
  <si>
    <t>បញ្ជីរាយនាមសិស្សចូលរៀនបច្ចេកទេស កម្រិត១ ផ្នែកអគ្គិសនី</t>
  </si>
  <si>
    <t>បញ្ជីរាយនាមសិស្សចូលរៀនបច្ចេកទេស កម្រិត១ ផ្នែកមេកានិចស៊ីអិនស៊ី</t>
  </si>
  <si>
    <t>បញ្ជីរាយនាមសិស្សចូលរៀនឆ្នាំទី១ ទាំង ៣ ផ្នែក</t>
  </si>
  <si>
    <t>ចូលផ្នែក</t>
  </si>
  <si>
    <t>ពិន្ទុសម្ភាសន៍</t>
  </si>
  <si>
    <t>ពិន្ទុប្រឡង</t>
  </si>
  <si>
    <t>សរុប</t>
  </si>
  <si>
    <t>ចំណាត់ថ្នាក់</t>
  </si>
  <si>
    <t>ជាប់ឫធ្លាក់</t>
  </si>
  <si>
    <t>ចើយ</t>
  </si>
  <si>
    <t>យុឃាន</t>
  </si>
  <si>
    <t>វិទ្យាល័យព្រះក្រសាំង</t>
  </si>
  <si>
    <t>ស្នើស្នាក់ក្នុងថ្មី</t>
  </si>
  <si>
    <t>ស្រីនុច</t>
  </si>
  <si>
    <t>ស្រីណូ</t>
  </si>
  <si>
    <t>វិទ្យាល័យព្រះក្រសាំង(ក)</t>
  </si>
  <si>
    <t>វិទ្យាល័យឥស្សរយស</t>
  </si>
  <si>
    <t>រីម</t>
  </si>
  <si>
    <t>ធីរ៉ា</t>
  </si>
  <si>
    <t>វិទ្យាល័យសុវណ្ណភូមិ ប៉ោយប៉ែត២</t>
  </si>
  <si>
    <t>សូយ</t>
  </si>
  <si>
    <t>ឈវី</t>
  </si>
  <si>
    <t>១០ មករា ២០០៦</t>
  </si>
  <si>
    <t>សោម</t>
  </si>
  <si>
    <t>ជ័យអួយ</t>
  </si>
  <si>
    <t>វិទ្យាល័យមរតកតេជោសែន</t>
  </si>
  <si>
    <t>សាឡាម៉ូន</t>
  </si>
  <si>
    <t>អ៊ុក</t>
  </si>
  <si>
    <t>ទាវ</t>
  </si>
  <si>
    <t>មេកានិច</t>
  </si>
  <si>
    <t>គឹមហុង</t>
  </si>
  <si>
    <t>ណាក</t>
  </si>
  <si>
    <t>ប៊ុនអីតាន</t>
  </si>
  <si>
    <t>វិ.ច.ប.ឯ ដុនបូស្កូបាត់ដំបង</t>
  </si>
  <si>
    <t>រី</t>
  </si>
  <si>
    <t>សុរិត</t>
  </si>
  <si>
    <t>អនុវិទ្យាល័យព្រះក្រសាំង</t>
  </si>
  <si>
    <t>ស្រី</t>
  </si>
  <si>
    <t>ឃុនរ៉ា</t>
  </si>
  <si>
    <t>វិទ្យាល័យអង្គរធំ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</si>
</sst>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2000425]0"/>
    <numFmt numFmtId="165" formatCode="[$-12000453]dd\ mmmm\ yyyy;@"/>
    <numFmt numFmtId="166" formatCode="[$-10453]d\ mmmm\ yyyy;@"/>
    <numFmt numFmtId="167" formatCode="[$-12000000]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Khmer OS Muol Light"/>
    </font>
    <font>
      <sz val="10"/>
      <color theme="1"/>
      <name val="Khmer OS Muol Light"/>
    </font>
    <font>
      <sz val="9"/>
      <color theme="1"/>
      <name val="Khmer OS Battambang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9"/>
      <color theme="1"/>
      <name val="Khmer OS Siemreap"/>
    </font>
    <font>
      <sz val="8"/>
      <name val="Calibri"/>
      <family val="2"/>
      <scheme val="minor"/>
    </font>
    <font>
      <sz val="10"/>
      <color theme="1"/>
      <name val="Khmer OS Battambang"/>
    </font>
    <font>
      <sz val="28"/>
      <color theme="1"/>
      <name val="Tacteing"/>
    </font>
    <font>
      <sz val="9"/>
      <color rgb="FFFF0000"/>
      <name val="Khmer OS Battambang"/>
    </font>
    <font>
      <sz val="9"/>
      <color theme="1"/>
      <name val="Kh Muol"/>
    </font>
    <font>
      <sz val="8.5"/>
      <color theme="1"/>
      <name val="Khmer OS Battambang"/>
    </font>
    <font>
      <sz val="8.5"/>
      <color theme="1"/>
      <name val="Times New Roman"/>
      <family val="1"/>
    </font>
    <font>
      <sz val="1"/>
      <color theme="0"/>
      <name val="Khmer OS Battambang"/>
    </font>
    <font>
      <sz val="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Khmer OS Battambang"/>
    </font>
    <font>
      <sz val="9"/>
      <name val="Khmer OS Battambang"/>
    </font>
    <font>
      <sz val="8.5"/>
      <name val="Khmer OS Battambang"/>
    </font>
    <font>
      <sz val="8.5"/>
      <name val="Times New Roman"/>
      <family val="1"/>
    </font>
    <font>
      <sz val="9"/>
      <name val="Khmer OS Siemreap"/>
    </font>
    <font>
      <sz val="12"/>
      <color theme="1"/>
      <name val="Khmer OS Muol Light"/>
    </font>
    <font>
      <sz val="8"/>
      <color theme="1"/>
      <name val="Khmer OS Muol Light"/>
    </font>
    <font>
      <sz val="10"/>
      <color theme="1"/>
      <name val="Calibri"/>
      <family val="2"/>
      <scheme val="minor"/>
    </font>
    <font>
      <sz val="7"/>
      <color theme="1"/>
      <name val="Khmer OS Muol Light"/>
    </font>
    <font>
      <sz val="8"/>
      <color theme="1"/>
      <name val="Khmer OS Battambang"/>
    </font>
    <font>
      <sz val="10"/>
      <color theme="1"/>
      <name val="Khmer OS Siemreap"/>
    </font>
    <font>
      <sz val="9"/>
      <color theme="0"/>
      <name val="Khmer OS Battambang"/>
    </font>
    <font>
      <sz val="11"/>
      <color theme="0"/>
      <name val="Khmer OS Battambang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164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3" fillId="0" borderId="4" xfId="0" applyNumberFormat="1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/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5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top"/>
    </xf>
    <xf numFmtId="0" fontId="15" fillId="0" borderId="0" xfId="0" applyFont="1"/>
    <xf numFmtId="164" fontId="3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1" fontId="0" fillId="0" borderId="0" xfId="1" applyNumberFormat="1" applyFont="1"/>
    <xf numFmtId="0" fontId="17" fillId="0" borderId="0" xfId="0" applyFont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5" fontId="20" fillId="0" borderId="2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65" fontId="19" fillId="0" borderId="1" xfId="0" applyNumberFormat="1" applyFont="1" applyFill="1" applyBorder="1" applyAlignment="1" applyProtection="1">
      <alignment horizontal="center" vertical="center" wrapText="1"/>
    </xf>
    <xf numFmtId="165" fontId="19" fillId="0" borderId="2" xfId="0" applyNumberFormat="1" applyFont="1" applyFill="1" applyBorder="1" applyAlignment="1" applyProtection="1">
      <alignment horizontal="center" vertical="center" wrapText="1"/>
    </xf>
    <xf numFmtId="0" fontId="0" fillId="2" borderId="0" xfId="0" applyNumberFormat="1" applyFill="1" applyAlignment="1" applyProtection="1"/>
    <xf numFmtId="164" fontId="12" fillId="3" borderId="1" xfId="0" applyNumberFormat="1" applyFont="1" applyFill="1" applyBorder="1" applyAlignment="1" applyProtection="1">
      <alignment horizontal="center" vertical="center"/>
    </xf>
    <xf numFmtId="0" fontId="20" fillId="3" borderId="1" xfId="0" applyNumberFormat="1" applyFont="1" applyFill="1" applyBorder="1" applyAlignment="1" applyProtection="1">
      <alignment horizontal="center" vertical="center"/>
    </xf>
    <xf numFmtId="165" fontId="20" fillId="3" borderId="2" xfId="0" applyNumberFormat="1" applyFont="1" applyFill="1" applyBorder="1" applyAlignment="1" applyProtection="1">
      <alignment horizontal="center" vertical="center"/>
    </xf>
    <xf numFmtId="0" fontId="20" fillId="3" borderId="2" xfId="0" applyNumberFormat="1" applyFont="1" applyFill="1" applyBorder="1" applyAlignment="1" applyProtection="1">
      <alignment horizontal="center" vertical="center"/>
    </xf>
    <xf numFmtId="0" fontId="21" fillId="3" borderId="1" xfId="0" applyNumberFormat="1" applyFont="1" applyFill="1" applyBorder="1" applyAlignment="1" applyProtection="1">
      <alignment horizontal="center" vertical="center"/>
    </xf>
    <xf numFmtId="0" fontId="22" fillId="3" borderId="1" xfId="0" applyNumberFormat="1" applyFont="1" applyFill="1" applyBorder="1" applyAlignment="1" applyProtection="1">
      <alignment horizontal="center" vertical="center"/>
    </xf>
    <xf numFmtId="0" fontId="19" fillId="3" borderId="2" xfId="0" applyNumberFormat="1" applyFont="1" applyFill="1" applyBorder="1" applyAlignment="1" applyProtection="1">
      <alignment horizontal="center" vertical="center"/>
    </xf>
    <xf numFmtId="0" fontId="21" fillId="3" borderId="12" xfId="0" applyNumberFormat="1" applyFont="1" applyFill="1" applyBorder="1" applyAlignment="1" applyProtection="1">
      <alignment horizontal="center" vertical="center"/>
    </xf>
    <xf numFmtId="0" fontId="21" fillId="3" borderId="11" xfId="0" applyNumberFormat="1" applyFont="1" applyFill="1" applyBorder="1" applyAlignment="1" applyProtection="1">
      <alignment horizontal="center" vertical="center"/>
    </xf>
    <xf numFmtId="0" fontId="20" fillId="3" borderId="7" xfId="0" applyNumberFormat="1" applyFont="1" applyFill="1" applyBorder="1" applyAlignment="1" applyProtection="1">
      <alignment horizontal="center" vertical="center"/>
    </xf>
    <xf numFmtId="0" fontId="21" fillId="3" borderId="13" xfId="0" applyNumberFormat="1" applyFont="1" applyFill="1" applyBorder="1" applyAlignment="1" applyProtection="1">
      <alignment horizontal="center" vertical="center"/>
    </xf>
    <xf numFmtId="165" fontId="30" fillId="0" borderId="0" xfId="0" applyNumberFormat="1" applyFont="1" applyAlignment="1">
      <alignment horizontal="center" vertical="center"/>
    </xf>
    <xf numFmtId="165" fontId="27" fillId="0" borderId="3" xfId="0" applyNumberFormat="1" applyFont="1" applyBorder="1" applyAlignment="1">
      <alignment horizontal="center" vertical="center"/>
    </xf>
    <xf numFmtId="165" fontId="27" fillId="0" borderId="2" xfId="0" applyNumberFormat="1" applyFont="1" applyBorder="1" applyAlignment="1">
      <alignment horizontal="center" vertical="center"/>
    </xf>
    <xf numFmtId="165" fontId="27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0" xfId="0" applyFont="1" applyAlignment="1">
      <alignment horizontal="left" indent="50"/>
    </xf>
    <xf numFmtId="0" fontId="1" fillId="0" borderId="0" xfId="0" applyFont="1" applyAlignment="1">
      <alignment horizontal="left" vertical="top" indent="48"/>
    </xf>
    <xf numFmtId="0" fontId="9" fillId="0" borderId="0" xfId="0" applyFont="1" applyAlignment="1">
      <alignment horizontal="left" vertical="center" indent="52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8" fillId="0" borderId="0" xfId="0" applyNumberFormat="1" applyFont="1" applyFill="1" applyAlignment="1" applyProtection="1">
      <alignment horizontal="left" vertical="center" indent="3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right" vertical="center" indent="3"/>
    </xf>
    <xf numFmtId="0" fontId="2" fillId="0" borderId="0" xfId="0" applyFont="1" applyAlignment="1">
      <alignment horizontal="center" vertical="top"/>
    </xf>
    <xf numFmtId="0" fontId="24" fillId="0" borderId="1" xfId="0" applyFont="1" applyBorder="1" applyAlignment="1">
      <alignment horizontal="center" vertical="center"/>
    </xf>
    <xf numFmtId="166" fontId="24" fillId="0" borderId="2" xfId="0" applyNumberFormat="1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55886-26EE-45F1-9666-58A21E4159A0}">
  <sheetPr>
    <tabColor theme="5" tint="-0.249977111117893"/>
    <pageSetUpPr fitToPage="1"/>
  </sheetPr>
  <dimension ref="A1:I85"/>
  <sheetViews>
    <sheetView topLeftCell="A40" zoomScaleSheetLayoutView="89" workbookViewId="0">
      <selection activeCell="C60" sqref="C60"/>
    </sheetView>
  </sheetViews>
  <sheetFormatPr defaultRowHeight="15" x14ac:dyDescent="0.25"/>
  <cols>
    <col min="1" max="1" width="5.85546875" style="27" customWidth="1"/>
    <col min="2" max="2" width="9.140625" style="8" customWidth="1"/>
    <col min="3" max="3" width="9.42578125" style="8" customWidth="1"/>
    <col min="4" max="4" width="4.7109375" style="8" customWidth="1"/>
    <col min="5" max="5" width="15.5703125" style="8" customWidth="1"/>
    <col min="6" max="6" width="21.28515625" style="8" customWidth="1"/>
    <col min="7" max="7" width="9.7109375" style="8" customWidth="1"/>
    <col min="8" max="8" width="12.28515625" style="8" customWidth="1"/>
    <col min="9" max="9" width="11.140625" style="8" customWidth="1"/>
  </cols>
  <sheetData>
    <row r="1" spans="1:9" ht="30" customHeight="1" x14ac:dyDescent="0.65">
      <c r="A1" s="97" t="s">
        <v>0</v>
      </c>
      <c r="B1" s="97"/>
      <c r="C1" s="97"/>
      <c r="D1" s="97"/>
      <c r="E1" s="97"/>
      <c r="F1" s="97"/>
      <c r="G1" s="97"/>
      <c r="H1" s="97"/>
      <c r="I1" s="97"/>
    </row>
    <row r="2" spans="1:9" ht="21" customHeight="1" x14ac:dyDescent="0.25">
      <c r="A2" s="98" t="s">
        <v>1</v>
      </c>
      <c r="B2" s="98"/>
      <c r="C2" s="98"/>
      <c r="D2" s="98"/>
      <c r="E2" s="98"/>
      <c r="F2" s="98"/>
      <c r="G2" s="98"/>
      <c r="H2" s="98"/>
      <c r="I2" s="98"/>
    </row>
    <row r="3" spans="1:9" ht="20.25" customHeight="1" x14ac:dyDescent="0.25">
      <c r="A3" s="99">
        <v>3</v>
      </c>
      <c r="B3" s="99"/>
      <c r="C3" s="99"/>
      <c r="D3" s="99"/>
      <c r="E3" s="99"/>
      <c r="F3" s="99"/>
      <c r="G3" s="99"/>
      <c r="H3" s="99"/>
      <c r="I3" s="99"/>
    </row>
    <row r="5" spans="1:9" ht="23.25" customHeight="1" x14ac:dyDescent="0.25">
      <c r="A5" s="94" t="s">
        <v>2</v>
      </c>
      <c r="B5" s="94"/>
      <c r="C5" s="94"/>
      <c r="D5" s="94"/>
      <c r="E5" s="94"/>
      <c r="F5" s="94"/>
    </row>
    <row r="6" spans="1:9" ht="23.25" customHeight="1" x14ac:dyDescent="0.25">
      <c r="A6" s="94" t="s">
        <v>3</v>
      </c>
      <c r="B6" s="94"/>
      <c r="C6" s="94"/>
      <c r="D6" s="94"/>
      <c r="E6" s="94"/>
      <c r="F6" s="94"/>
    </row>
    <row r="7" spans="1:9" ht="23.25" customHeight="1" x14ac:dyDescent="0.25">
      <c r="A7" s="94" t="s">
        <v>4</v>
      </c>
      <c r="B7" s="94"/>
      <c r="C7" s="94"/>
      <c r="D7" s="94"/>
      <c r="E7" s="94"/>
      <c r="F7" s="94"/>
    </row>
    <row r="8" spans="1:9" ht="23.25" customHeight="1" x14ac:dyDescent="0.25">
      <c r="A8" s="95" t="s">
        <v>5</v>
      </c>
      <c r="B8" s="95"/>
      <c r="C8" s="95"/>
      <c r="D8" s="95"/>
      <c r="E8" s="95"/>
      <c r="F8" s="95"/>
      <c r="G8" s="95"/>
      <c r="H8" s="95"/>
      <c r="I8" s="95"/>
    </row>
    <row r="9" spans="1:9" ht="23.25" customHeight="1" x14ac:dyDescent="0.25">
      <c r="A9" s="96" t="s">
        <v>6</v>
      </c>
      <c r="B9" s="96"/>
      <c r="C9" s="96"/>
      <c r="D9" s="96"/>
      <c r="E9" s="96"/>
      <c r="F9" s="96"/>
      <c r="G9" s="96"/>
      <c r="H9" s="96"/>
      <c r="I9" s="96"/>
    </row>
    <row r="10" spans="1:9" ht="21" customHeight="1" x14ac:dyDescent="0.25">
      <c r="A10" s="34" t="s">
        <v>7</v>
      </c>
      <c r="B10" s="34" t="s">
        <v>8</v>
      </c>
      <c r="C10" s="35" t="s">
        <v>9</v>
      </c>
      <c r="D10" s="35" t="s">
        <v>10</v>
      </c>
      <c r="E10" s="34" t="s">
        <v>11</v>
      </c>
      <c r="F10" s="34" t="s">
        <v>12</v>
      </c>
      <c r="G10" s="36" t="s">
        <v>13</v>
      </c>
      <c r="H10" s="36" t="s">
        <v>14</v>
      </c>
      <c r="I10" s="36" t="s">
        <v>15</v>
      </c>
    </row>
    <row r="11" spans="1:9" ht="19.5" customHeight="1" x14ac:dyDescent="0.25">
      <c r="A11" s="37">
        <f>IF(B11="","",1)</f>
        <v>1</v>
      </c>
      <c r="B11" s="38" t="s">
        <v>16</v>
      </c>
      <c r="C11" s="39" t="s">
        <v>17</v>
      </c>
      <c r="D11" s="40" t="s">
        <v>18</v>
      </c>
      <c r="E11" s="41">
        <v>39271</v>
      </c>
      <c r="F11" s="42" t="s">
        <v>19</v>
      </c>
      <c r="G11" s="15" t="s">
        <v>20</v>
      </c>
      <c r="H11" s="15"/>
      <c r="I11" s="43"/>
    </row>
    <row r="12" spans="1:9" ht="19.5" customHeight="1" x14ac:dyDescent="0.25">
      <c r="A12" s="37">
        <f t="shared" ref="A12:A46" si="0">IF(B12="", "", A11 + 1)</f>
        <v>2</v>
      </c>
      <c r="B12" s="42" t="s">
        <v>21</v>
      </c>
      <c r="C12" s="40" t="s">
        <v>22</v>
      </c>
      <c r="D12" s="40" t="s">
        <v>23</v>
      </c>
      <c r="E12" s="44">
        <v>39803</v>
      </c>
      <c r="F12" s="42" t="s">
        <v>24</v>
      </c>
      <c r="G12" s="15" t="s">
        <v>20</v>
      </c>
      <c r="H12" s="15"/>
      <c r="I12" s="43"/>
    </row>
    <row r="13" spans="1:9" ht="19.5" customHeight="1" x14ac:dyDescent="0.25">
      <c r="A13" s="37">
        <f t="shared" si="0"/>
        <v>3</v>
      </c>
      <c r="B13" s="42" t="s">
        <v>25</v>
      </c>
      <c r="C13" s="40" t="s">
        <v>26</v>
      </c>
      <c r="D13" s="40" t="s">
        <v>18</v>
      </c>
      <c r="E13" s="75">
        <v>40071</v>
      </c>
      <c r="F13" s="45" t="s">
        <v>27</v>
      </c>
      <c r="G13" s="15" t="s">
        <v>20</v>
      </c>
      <c r="H13" s="15"/>
      <c r="I13" s="43"/>
    </row>
    <row r="14" spans="1:9" ht="19.5" customHeight="1" x14ac:dyDescent="0.25">
      <c r="A14" s="37">
        <f t="shared" si="0"/>
        <v>4</v>
      </c>
      <c r="B14" s="42" t="s">
        <v>28</v>
      </c>
      <c r="C14" s="40" t="s">
        <v>29</v>
      </c>
      <c r="D14" s="40" t="s">
        <v>23</v>
      </c>
      <c r="E14" s="46">
        <v>39908</v>
      </c>
      <c r="F14" s="42" t="s">
        <v>27</v>
      </c>
      <c r="G14" s="15" t="s">
        <v>20</v>
      </c>
      <c r="H14" s="15"/>
      <c r="I14" s="43"/>
    </row>
    <row r="15" spans="1:9" ht="19.5" customHeight="1" x14ac:dyDescent="0.25">
      <c r="A15" s="37">
        <f t="shared" si="0"/>
        <v>5</v>
      </c>
      <c r="B15" s="47" t="s">
        <v>30</v>
      </c>
      <c r="C15" s="48" t="s">
        <v>31</v>
      </c>
      <c r="D15" s="40" t="s">
        <v>23</v>
      </c>
      <c r="E15" s="41">
        <v>40030</v>
      </c>
      <c r="F15" s="42" t="s">
        <v>24</v>
      </c>
      <c r="G15" s="15" t="s">
        <v>20</v>
      </c>
      <c r="H15" s="15"/>
      <c r="I15" s="43"/>
    </row>
    <row r="16" spans="1:9" ht="19.5" customHeight="1" x14ac:dyDescent="0.25">
      <c r="A16" s="37">
        <f t="shared" si="0"/>
        <v>6</v>
      </c>
      <c r="B16" s="42" t="s">
        <v>32</v>
      </c>
      <c r="C16" s="40" t="s">
        <v>33</v>
      </c>
      <c r="D16" s="40" t="s">
        <v>23</v>
      </c>
      <c r="E16" s="41">
        <v>40143</v>
      </c>
      <c r="F16" s="42" t="s">
        <v>24</v>
      </c>
      <c r="G16" s="15" t="s">
        <v>20</v>
      </c>
      <c r="H16" s="15"/>
      <c r="I16" s="43"/>
    </row>
    <row r="17" spans="1:9" ht="19.5" customHeight="1" x14ac:dyDescent="0.25">
      <c r="A17" s="37">
        <f t="shared" si="0"/>
        <v>7</v>
      </c>
      <c r="B17" s="38" t="s">
        <v>34</v>
      </c>
      <c r="C17" s="39" t="s">
        <v>35</v>
      </c>
      <c r="D17" s="40" t="s">
        <v>18</v>
      </c>
      <c r="E17" s="41">
        <v>38779</v>
      </c>
      <c r="F17" s="42" t="s">
        <v>24</v>
      </c>
      <c r="G17" s="15" t="s">
        <v>20</v>
      </c>
      <c r="H17" s="15"/>
      <c r="I17" s="43"/>
    </row>
    <row r="18" spans="1:9" ht="19.5" customHeight="1" x14ac:dyDescent="0.25">
      <c r="A18" s="37">
        <f t="shared" si="0"/>
        <v>8</v>
      </c>
      <c r="B18" s="42" t="s">
        <v>34</v>
      </c>
      <c r="C18" s="40" t="s">
        <v>36</v>
      </c>
      <c r="D18" s="40" t="s">
        <v>18</v>
      </c>
      <c r="E18" s="41">
        <v>38779</v>
      </c>
      <c r="F18" s="42" t="s">
        <v>24</v>
      </c>
      <c r="G18" s="15" t="s">
        <v>20</v>
      </c>
      <c r="H18" s="15"/>
      <c r="I18" s="43"/>
    </row>
    <row r="19" spans="1:9" ht="19.5" customHeight="1" x14ac:dyDescent="0.25">
      <c r="A19" s="37">
        <f t="shared" si="0"/>
        <v>9</v>
      </c>
      <c r="B19" s="42" t="s">
        <v>37</v>
      </c>
      <c r="C19" s="40" t="s">
        <v>38</v>
      </c>
      <c r="D19" s="40" t="s">
        <v>18</v>
      </c>
      <c r="E19" s="41">
        <v>39027</v>
      </c>
      <c r="F19" s="42" t="s">
        <v>24</v>
      </c>
      <c r="G19" s="15" t="s">
        <v>20</v>
      </c>
      <c r="H19" s="15"/>
      <c r="I19" s="43"/>
    </row>
    <row r="20" spans="1:9" ht="19.5" customHeight="1" x14ac:dyDescent="0.25">
      <c r="A20" s="37">
        <f t="shared" si="0"/>
        <v>10</v>
      </c>
      <c r="B20" s="42" t="s">
        <v>39</v>
      </c>
      <c r="C20" s="40" t="s">
        <v>40</v>
      </c>
      <c r="D20" s="40" t="s">
        <v>23</v>
      </c>
      <c r="E20" s="41">
        <v>39266</v>
      </c>
      <c r="F20" s="42" t="s">
        <v>41</v>
      </c>
      <c r="G20" s="15" t="s">
        <v>20</v>
      </c>
      <c r="H20" s="15"/>
      <c r="I20" s="43" t="s">
        <v>42</v>
      </c>
    </row>
    <row r="21" spans="1:9" ht="19.5" customHeight="1" x14ac:dyDescent="0.25">
      <c r="A21" s="37">
        <f t="shared" si="0"/>
        <v>11</v>
      </c>
      <c r="B21" s="42" t="s">
        <v>43</v>
      </c>
      <c r="C21" s="40" t="s">
        <v>44</v>
      </c>
      <c r="D21" s="40" t="s">
        <v>23</v>
      </c>
      <c r="E21" s="41">
        <v>39507</v>
      </c>
      <c r="F21" s="42" t="s">
        <v>41</v>
      </c>
      <c r="G21" s="15" t="s">
        <v>20</v>
      </c>
      <c r="H21" s="15"/>
      <c r="I21" s="43"/>
    </row>
    <row r="22" spans="1:9" ht="19.5" customHeight="1" x14ac:dyDescent="0.25">
      <c r="A22" s="37">
        <f t="shared" si="0"/>
        <v>12</v>
      </c>
      <c r="B22" s="42" t="s">
        <v>45</v>
      </c>
      <c r="C22" s="40" t="s">
        <v>46</v>
      </c>
      <c r="D22" s="40" t="s">
        <v>18</v>
      </c>
      <c r="E22" s="41">
        <v>40102</v>
      </c>
      <c r="F22" s="42" t="s">
        <v>47</v>
      </c>
      <c r="G22" s="15" t="s">
        <v>20</v>
      </c>
      <c r="H22" s="15"/>
      <c r="I22" s="43" t="s">
        <v>42</v>
      </c>
    </row>
    <row r="23" spans="1:9" ht="19.5" customHeight="1" x14ac:dyDescent="0.25">
      <c r="A23" s="37">
        <f t="shared" si="0"/>
        <v>13</v>
      </c>
      <c r="B23" s="42" t="s">
        <v>48</v>
      </c>
      <c r="C23" s="40" t="s">
        <v>49</v>
      </c>
      <c r="D23" s="40" t="s">
        <v>23</v>
      </c>
      <c r="E23" s="41">
        <v>40044</v>
      </c>
      <c r="F23" s="42" t="s">
        <v>50</v>
      </c>
      <c r="G23" s="15" t="s">
        <v>20</v>
      </c>
      <c r="H23" s="15"/>
      <c r="I23" s="43"/>
    </row>
    <row r="24" spans="1:9" ht="19.5" customHeight="1" x14ac:dyDescent="0.25">
      <c r="A24" s="37">
        <f t="shared" si="0"/>
        <v>14</v>
      </c>
      <c r="B24" s="42" t="s">
        <v>51</v>
      </c>
      <c r="C24" s="40" t="s">
        <v>52</v>
      </c>
      <c r="D24" s="40" t="s">
        <v>18</v>
      </c>
      <c r="E24" s="41">
        <v>39790</v>
      </c>
      <c r="F24" s="42" t="s">
        <v>53</v>
      </c>
      <c r="G24" s="15" t="s">
        <v>20</v>
      </c>
      <c r="H24" s="15"/>
      <c r="I24" s="43"/>
    </row>
    <row r="25" spans="1:9" ht="19.5" customHeight="1" x14ac:dyDescent="0.25">
      <c r="A25" s="37">
        <f t="shared" si="0"/>
        <v>15</v>
      </c>
      <c r="B25" s="42" t="s">
        <v>54</v>
      </c>
      <c r="C25" s="40" t="s">
        <v>55</v>
      </c>
      <c r="D25" s="40" t="s">
        <v>23</v>
      </c>
      <c r="E25" s="41">
        <v>39278</v>
      </c>
      <c r="F25" s="42" t="s">
        <v>41</v>
      </c>
      <c r="G25" s="15" t="s">
        <v>20</v>
      </c>
      <c r="H25" s="15"/>
      <c r="I25" s="43" t="s">
        <v>42</v>
      </c>
    </row>
    <row r="26" spans="1:9" ht="19.5" customHeight="1" x14ac:dyDescent="0.25">
      <c r="A26" s="37">
        <f t="shared" si="0"/>
        <v>16</v>
      </c>
      <c r="B26" s="42" t="s">
        <v>56</v>
      </c>
      <c r="C26" s="40" t="s">
        <v>57</v>
      </c>
      <c r="D26" s="40" t="s">
        <v>23</v>
      </c>
      <c r="E26" s="41">
        <v>39650</v>
      </c>
      <c r="F26" s="42" t="s">
        <v>41</v>
      </c>
      <c r="G26" s="15" t="s">
        <v>58</v>
      </c>
      <c r="H26" s="15"/>
      <c r="I26" s="43" t="s">
        <v>42</v>
      </c>
    </row>
    <row r="27" spans="1:9" ht="19.5" customHeight="1" x14ac:dyDescent="0.25">
      <c r="A27" s="37">
        <f t="shared" si="0"/>
        <v>17</v>
      </c>
      <c r="B27" s="42" t="s">
        <v>59</v>
      </c>
      <c r="C27" s="40" t="s">
        <v>60</v>
      </c>
      <c r="D27" s="40" t="s">
        <v>23</v>
      </c>
      <c r="E27" s="41">
        <v>40169</v>
      </c>
      <c r="F27" s="42" t="s">
        <v>61</v>
      </c>
      <c r="G27" s="15" t="s">
        <v>20</v>
      </c>
      <c r="H27" s="15"/>
      <c r="I27" s="43"/>
    </row>
    <row r="28" spans="1:9" ht="19.5" customHeight="1" x14ac:dyDescent="0.25">
      <c r="A28" s="37">
        <f t="shared" si="0"/>
        <v>18</v>
      </c>
      <c r="B28" s="42" t="s">
        <v>62</v>
      </c>
      <c r="C28" s="40" t="s">
        <v>63</v>
      </c>
      <c r="D28" s="40" t="s">
        <v>18</v>
      </c>
      <c r="E28" s="41">
        <v>39492</v>
      </c>
      <c r="F28" s="42" t="s">
        <v>64</v>
      </c>
      <c r="G28" s="15" t="s">
        <v>20</v>
      </c>
      <c r="H28" s="15"/>
      <c r="I28" s="43"/>
    </row>
    <row r="29" spans="1:9" ht="19.5" customHeight="1" x14ac:dyDescent="0.25">
      <c r="A29" s="37">
        <f t="shared" si="0"/>
        <v>19</v>
      </c>
      <c r="B29" s="42" t="s">
        <v>65</v>
      </c>
      <c r="C29" s="40" t="s">
        <v>66</v>
      </c>
      <c r="D29" s="40" t="s">
        <v>23</v>
      </c>
      <c r="E29" s="41">
        <v>39724</v>
      </c>
      <c r="F29" s="42" t="s">
        <v>41</v>
      </c>
      <c r="G29" s="15" t="s">
        <v>20</v>
      </c>
      <c r="H29" s="15"/>
      <c r="I29" s="43"/>
    </row>
    <row r="30" spans="1:9" ht="19.5" customHeight="1" x14ac:dyDescent="0.25">
      <c r="A30" s="37">
        <f t="shared" si="0"/>
        <v>20</v>
      </c>
      <c r="B30" s="42" t="s">
        <v>67</v>
      </c>
      <c r="C30" s="40" t="s">
        <v>68</v>
      </c>
      <c r="D30" s="40" t="s">
        <v>23</v>
      </c>
      <c r="E30" s="41">
        <v>39900</v>
      </c>
      <c r="F30" s="42" t="s">
        <v>24</v>
      </c>
      <c r="G30" s="15" t="s">
        <v>20</v>
      </c>
      <c r="H30" s="15"/>
      <c r="I30" s="43"/>
    </row>
    <row r="31" spans="1:9" ht="19.5" customHeight="1" x14ac:dyDescent="0.25">
      <c r="A31" s="37">
        <f t="shared" si="0"/>
        <v>21</v>
      </c>
      <c r="B31" s="42" t="s">
        <v>69</v>
      </c>
      <c r="C31" s="40" t="s">
        <v>70</v>
      </c>
      <c r="D31" s="40" t="s">
        <v>18</v>
      </c>
      <c r="E31" s="41">
        <v>39821</v>
      </c>
      <c r="F31" s="42" t="s">
        <v>41</v>
      </c>
      <c r="G31" s="15" t="s">
        <v>20</v>
      </c>
      <c r="H31" s="15"/>
      <c r="I31" s="43"/>
    </row>
    <row r="32" spans="1:9" ht="19.5" customHeight="1" x14ac:dyDescent="0.25">
      <c r="A32" s="37">
        <f t="shared" si="0"/>
        <v>22</v>
      </c>
      <c r="B32" s="42" t="s">
        <v>71</v>
      </c>
      <c r="C32" s="40" t="s">
        <v>72</v>
      </c>
      <c r="D32" s="40" t="s">
        <v>18</v>
      </c>
      <c r="E32" s="41">
        <v>40022</v>
      </c>
      <c r="F32" s="42" t="s">
        <v>41</v>
      </c>
      <c r="G32" s="15" t="s">
        <v>20</v>
      </c>
      <c r="H32" s="15"/>
      <c r="I32" s="43"/>
    </row>
    <row r="33" spans="1:9" ht="19.5" customHeight="1" x14ac:dyDescent="0.25">
      <c r="A33" s="37">
        <f t="shared" si="0"/>
        <v>23</v>
      </c>
      <c r="B33" s="42" t="s">
        <v>73</v>
      </c>
      <c r="C33" s="40" t="s">
        <v>74</v>
      </c>
      <c r="D33" s="40" t="s">
        <v>18</v>
      </c>
      <c r="E33" s="41">
        <v>39625</v>
      </c>
      <c r="F33" s="42" t="s">
        <v>41</v>
      </c>
      <c r="G33" s="15" t="s">
        <v>20</v>
      </c>
      <c r="H33" s="15"/>
      <c r="I33" s="43"/>
    </row>
    <row r="34" spans="1:9" ht="19.5" customHeight="1" x14ac:dyDescent="0.25">
      <c r="A34" s="37">
        <f t="shared" si="0"/>
        <v>24</v>
      </c>
      <c r="B34" s="42" t="s">
        <v>75</v>
      </c>
      <c r="C34" s="40" t="s">
        <v>76</v>
      </c>
      <c r="D34" s="15" t="s">
        <v>23</v>
      </c>
      <c r="E34" s="49">
        <v>39121</v>
      </c>
      <c r="F34" s="15" t="s">
        <v>41</v>
      </c>
      <c r="G34" s="15" t="s">
        <v>20</v>
      </c>
      <c r="H34" s="15"/>
      <c r="I34" s="43"/>
    </row>
    <row r="35" spans="1:9" ht="19.5" customHeight="1" x14ac:dyDescent="0.25">
      <c r="A35" s="37">
        <f t="shared" si="0"/>
        <v>25</v>
      </c>
      <c r="B35" s="42" t="s">
        <v>77</v>
      </c>
      <c r="C35" s="40" t="s">
        <v>78</v>
      </c>
      <c r="D35" s="15" t="s">
        <v>18</v>
      </c>
      <c r="E35" s="49">
        <v>39685</v>
      </c>
      <c r="F35" s="15" t="s">
        <v>41</v>
      </c>
      <c r="G35" s="15" t="s">
        <v>20</v>
      </c>
      <c r="H35" s="15"/>
      <c r="I35" s="43"/>
    </row>
    <row r="36" spans="1:9" ht="19.5" customHeight="1" x14ac:dyDescent="0.25">
      <c r="A36" s="37">
        <f t="shared" si="0"/>
        <v>26</v>
      </c>
      <c r="B36" s="42" t="s">
        <v>79</v>
      </c>
      <c r="C36" s="40" t="s">
        <v>80</v>
      </c>
      <c r="D36" s="15" t="s">
        <v>18</v>
      </c>
      <c r="E36" s="49">
        <v>38985</v>
      </c>
      <c r="F36" s="15" t="s">
        <v>24</v>
      </c>
      <c r="G36" s="15" t="s">
        <v>20</v>
      </c>
      <c r="H36" s="15"/>
      <c r="I36" s="43"/>
    </row>
    <row r="37" spans="1:9" ht="19.5" customHeight="1" x14ac:dyDescent="0.25">
      <c r="A37" s="37">
        <f t="shared" si="0"/>
        <v>27</v>
      </c>
      <c r="B37" s="42" t="s">
        <v>81</v>
      </c>
      <c r="C37" s="40" t="s">
        <v>82</v>
      </c>
      <c r="D37" s="15" t="s">
        <v>18</v>
      </c>
      <c r="E37" s="49">
        <v>40338</v>
      </c>
      <c r="F37" s="15" t="s">
        <v>83</v>
      </c>
      <c r="G37" s="15" t="s">
        <v>20</v>
      </c>
      <c r="H37" s="15"/>
      <c r="I37" s="43" t="s">
        <v>84</v>
      </c>
    </row>
    <row r="38" spans="1:9" ht="19.5" customHeight="1" x14ac:dyDescent="0.25">
      <c r="A38" s="37">
        <f t="shared" si="0"/>
        <v>28</v>
      </c>
      <c r="B38" s="42" t="s">
        <v>32</v>
      </c>
      <c r="C38" s="40" t="s">
        <v>85</v>
      </c>
      <c r="D38" s="15" t="s">
        <v>23</v>
      </c>
      <c r="E38" s="49">
        <v>39782</v>
      </c>
      <c r="F38" s="15" t="s">
        <v>41</v>
      </c>
      <c r="G38" s="15" t="s">
        <v>20</v>
      </c>
      <c r="H38" s="15"/>
      <c r="I38" s="43" t="s">
        <v>84</v>
      </c>
    </row>
    <row r="39" spans="1:9" ht="19.5" customHeight="1" x14ac:dyDescent="0.25">
      <c r="A39" s="37">
        <f t="shared" si="0"/>
        <v>29</v>
      </c>
      <c r="B39" s="42" t="s">
        <v>86</v>
      </c>
      <c r="C39" s="40" t="s">
        <v>87</v>
      </c>
      <c r="D39" s="15" t="s">
        <v>23</v>
      </c>
      <c r="E39" s="49">
        <v>38737</v>
      </c>
      <c r="F39" s="15" t="s">
        <v>41</v>
      </c>
      <c r="G39" s="15" t="s">
        <v>20</v>
      </c>
      <c r="H39" s="15"/>
      <c r="I39" s="43"/>
    </row>
    <row r="40" spans="1:9" ht="19.5" customHeight="1" x14ac:dyDescent="0.25">
      <c r="A40" s="37">
        <f t="shared" si="0"/>
        <v>30</v>
      </c>
      <c r="B40" s="42" t="s">
        <v>88</v>
      </c>
      <c r="C40" s="40" t="s">
        <v>89</v>
      </c>
      <c r="D40" s="15" t="s">
        <v>23</v>
      </c>
      <c r="E40" s="49">
        <v>39561</v>
      </c>
      <c r="F40" s="15" t="s">
        <v>41</v>
      </c>
      <c r="G40" s="15" t="s">
        <v>20</v>
      </c>
      <c r="H40" s="15"/>
      <c r="I40" s="15" t="s">
        <v>84</v>
      </c>
    </row>
    <row r="41" spans="1:9" ht="19.5" customHeight="1" x14ac:dyDescent="0.25">
      <c r="A41" s="37">
        <f t="shared" si="0"/>
        <v>31</v>
      </c>
      <c r="B41" s="42" t="s">
        <v>90</v>
      </c>
      <c r="C41" s="40" t="s">
        <v>91</v>
      </c>
      <c r="D41" s="15" t="s">
        <v>23</v>
      </c>
      <c r="E41" s="49">
        <v>39430</v>
      </c>
      <c r="F41" s="15" t="s">
        <v>41</v>
      </c>
      <c r="G41" s="15" t="s">
        <v>20</v>
      </c>
      <c r="H41" s="15"/>
      <c r="I41" s="15" t="s">
        <v>84</v>
      </c>
    </row>
    <row r="42" spans="1:9" ht="19.5" customHeight="1" x14ac:dyDescent="0.25">
      <c r="A42" s="37">
        <f t="shared" si="0"/>
        <v>32</v>
      </c>
      <c r="B42" s="42" t="s">
        <v>92</v>
      </c>
      <c r="C42" s="40" t="s">
        <v>93</v>
      </c>
      <c r="D42" s="15" t="s">
        <v>23</v>
      </c>
      <c r="E42" s="49">
        <v>39575</v>
      </c>
      <c r="F42" s="15" t="s">
        <v>24</v>
      </c>
      <c r="G42" s="15" t="s">
        <v>20</v>
      </c>
      <c r="H42" s="15"/>
      <c r="I42" s="15"/>
    </row>
    <row r="43" spans="1:9" ht="19.5" customHeight="1" x14ac:dyDescent="0.25">
      <c r="A43" s="37">
        <f t="shared" si="0"/>
        <v>33</v>
      </c>
      <c r="B43" s="42" t="s">
        <v>94</v>
      </c>
      <c r="C43" s="40" t="s">
        <v>95</v>
      </c>
      <c r="D43" s="15" t="s">
        <v>23</v>
      </c>
      <c r="E43" s="49">
        <v>39971</v>
      </c>
      <c r="F43" s="15" t="s">
        <v>41</v>
      </c>
      <c r="G43" s="15" t="s">
        <v>20</v>
      </c>
      <c r="H43" s="15"/>
      <c r="I43" s="15" t="s">
        <v>84</v>
      </c>
    </row>
    <row r="44" spans="1:9" ht="19.5" customHeight="1" x14ac:dyDescent="0.25">
      <c r="A44" s="37">
        <f t="shared" si="0"/>
        <v>34</v>
      </c>
      <c r="B44" s="42" t="s">
        <v>96</v>
      </c>
      <c r="C44" s="40" t="s">
        <v>97</v>
      </c>
      <c r="D44" s="15" t="s">
        <v>18</v>
      </c>
      <c r="E44" s="49">
        <v>39902</v>
      </c>
      <c r="F44" s="15" t="s">
        <v>41</v>
      </c>
      <c r="G44" s="15" t="s">
        <v>20</v>
      </c>
      <c r="H44" s="15"/>
      <c r="I44" s="15"/>
    </row>
    <row r="45" spans="1:9" ht="19.5" customHeight="1" x14ac:dyDescent="0.25">
      <c r="A45" s="37">
        <f t="shared" si="0"/>
        <v>35</v>
      </c>
      <c r="B45" s="42" t="s">
        <v>98</v>
      </c>
      <c r="C45" s="40" t="s">
        <v>99</v>
      </c>
      <c r="D45" s="15" t="s">
        <v>18</v>
      </c>
      <c r="E45" s="49">
        <v>40437</v>
      </c>
      <c r="F45" s="15" t="s">
        <v>100</v>
      </c>
      <c r="G45" s="15" t="s">
        <v>20</v>
      </c>
      <c r="H45" s="15"/>
      <c r="I45" s="15"/>
    </row>
    <row r="46" spans="1:9" ht="19.5" customHeight="1" x14ac:dyDescent="0.25">
      <c r="A46" s="37">
        <f t="shared" si="0"/>
        <v>36</v>
      </c>
      <c r="B46" s="42" t="s">
        <v>101</v>
      </c>
      <c r="C46" s="40" t="s">
        <v>102</v>
      </c>
      <c r="D46" s="15" t="s">
        <v>18</v>
      </c>
      <c r="E46" s="49">
        <v>39876</v>
      </c>
      <c r="F46" s="15" t="s">
        <v>103</v>
      </c>
      <c r="G46" s="15" t="s">
        <v>20</v>
      </c>
      <c r="H46" s="15"/>
      <c r="I46" s="15"/>
    </row>
    <row r="84" spans="8:8" hidden="1" x14ac:dyDescent="0.25"/>
    <row r="85" spans="8:8" hidden="1" x14ac:dyDescent="0.25">
      <c r="H85" s="33" t="e" cm="1">
        <f>"បញ្ឈប់បញ្ជីត្រឹមឈ្មោះ " &amp; LOOKUP(2,1/(B:B&lt;&gt;""),B:B) &amp; " " &amp;LOOKUP(2,1/(C:C&lt;&gt;""),C:C) &amp; "  ចំនួនសិស្សសរុប " &amp;LOOKUP(2,1/(A:A&lt;&gt;""),A:A) &amp; "នាក់  នៅក្នុងនោះមានស្រី " &amp; COUNTIF(Attendant_Gender,"ស") &amp; "នាក់"</f>
        <v>#NAME?</v>
      </c>
    </row>
  </sheetData>
  <mergeCells count="8">
    <mergeCell ref="A7:F7"/>
    <mergeCell ref="A8:I8"/>
    <mergeCell ref="A9:I9"/>
    <mergeCell ref="A1:I1"/>
    <mergeCell ref="A2:I2"/>
    <mergeCell ref="A3:I3"/>
    <mergeCell ref="A5:F5"/>
    <mergeCell ref="A6:F6"/>
  </mergeCells>
  <printOptions horizontalCentered="1"/>
  <pageMargins left="0.25" right="0.25" top="0.75" bottom="0.75" header="0.3" footer="0.3"/>
  <pageSetup paperSize="9" fitToHeight="0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34FAA-9C08-404D-AAA9-E066C4D0B1FB}">
  <sheetPr>
    <tabColor theme="5" tint="-0.249977111117893"/>
    <pageSetUpPr fitToPage="1"/>
  </sheetPr>
  <dimension ref="A1:L50"/>
  <sheetViews>
    <sheetView topLeftCell="A7" zoomScaleSheetLayoutView="115" workbookViewId="0">
      <selection activeCell="M18" sqref="M18"/>
    </sheetView>
  </sheetViews>
  <sheetFormatPr defaultRowHeight="15" x14ac:dyDescent="0.25"/>
  <cols>
    <col min="1" max="1" width="5.42578125" customWidth="1"/>
    <col min="2" max="3" width="9" customWidth="1"/>
    <col min="4" max="4" width="4.7109375" customWidth="1"/>
    <col min="5" max="5" width="17" customWidth="1"/>
    <col min="6" max="6" width="21" style="8" customWidth="1"/>
    <col min="7" max="7" width="10" style="8" customWidth="1"/>
    <col min="8" max="8" width="12.7109375" customWidth="1"/>
    <col min="9" max="9" width="10.42578125" customWidth="1"/>
  </cols>
  <sheetData>
    <row r="1" spans="1:9" ht="30" customHeight="1" x14ac:dyDescent="0.65">
      <c r="A1" s="97" t="s">
        <v>0</v>
      </c>
      <c r="B1" s="97"/>
      <c r="C1" s="97"/>
      <c r="D1" s="97"/>
      <c r="E1" s="97"/>
      <c r="F1" s="97"/>
      <c r="G1" s="97"/>
      <c r="H1" s="97"/>
      <c r="I1" s="97"/>
    </row>
    <row r="2" spans="1:9" ht="21" customHeight="1" x14ac:dyDescent="0.25">
      <c r="A2" s="98" t="s">
        <v>1</v>
      </c>
      <c r="B2" s="98"/>
      <c r="C2" s="98"/>
      <c r="D2" s="98"/>
      <c r="E2" s="98"/>
      <c r="F2" s="98"/>
      <c r="G2" s="98"/>
      <c r="H2" s="98"/>
      <c r="I2" s="98"/>
    </row>
    <row r="3" spans="1:9" ht="20.25" customHeight="1" x14ac:dyDescent="0.25">
      <c r="A3" s="99">
        <v>3</v>
      </c>
      <c r="B3" s="99"/>
      <c r="C3" s="99"/>
      <c r="D3" s="99"/>
      <c r="E3" s="99"/>
      <c r="F3" s="99"/>
      <c r="G3" s="99"/>
      <c r="H3" s="99"/>
      <c r="I3" s="99"/>
    </row>
    <row r="4" spans="1:9" ht="23.25" customHeight="1" x14ac:dyDescent="0.65">
      <c r="A4" s="103" t="s">
        <v>2</v>
      </c>
      <c r="B4" s="103"/>
      <c r="C4" s="103"/>
      <c r="D4" s="103"/>
      <c r="E4" s="103"/>
      <c r="F4" s="103"/>
      <c r="G4" s="31"/>
    </row>
    <row r="5" spans="1:9" ht="23.25" customHeight="1" x14ac:dyDescent="0.65">
      <c r="A5" s="103" t="s">
        <v>3</v>
      </c>
      <c r="B5" s="103"/>
      <c r="C5" s="103"/>
      <c r="D5" s="103"/>
      <c r="E5" s="103"/>
      <c r="F5" s="103"/>
      <c r="G5" s="31"/>
    </row>
    <row r="6" spans="1:9" ht="23.25" customHeight="1" x14ac:dyDescent="0.25">
      <c r="A6" s="100" t="s">
        <v>104</v>
      </c>
      <c r="B6" s="100"/>
      <c r="C6" s="100"/>
      <c r="D6" s="100"/>
      <c r="E6" s="100"/>
      <c r="F6" s="100"/>
      <c r="G6" s="30"/>
    </row>
    <row r="7" spans="1:9" ht="23.25" customHeight="1" x14ac:dyDescent="0.65">
      <c r="A7" s="101" t="s">
        <v>105</v>
      </c>
      <c r="B7" s="101"/>
      <c r="C7" s="101"/>
      <c r="D7" s="101"/>
      <c r="E7" s="101"/>
      <c r="F7" s="101"/>
      <c r="G7" s="101"/>
      <c r="H7" s="101"/>
      <c r="I7" s="101"/>
    </row>
    <row r="8" spans="1:9" ht="23.25" customHeight="1" x14ac:dyDescent="0.65">
      <c r="A8" s="102" t="s">
        <v>106</v>
      </c>
      <c r="B8" s="102"/>
      <c r="C8" s="102"/>
      <c r="D8" s="102"/>
      <c r="E8" s="102"/>
      <c r="F8" s="102"/>
      <c r="G8" s="102"/>
      <c r="H8" s="102"/>
      <c r="I8" s="102"/>
    </row>
    <row r="9" spans="1:9" ht="27.75" customHeight="1" x14ac:dyDescent="0.25">
      <c r="A9" s="34" t="s">
        <v>7</v>
      </c>
      <c r="B9" s="34" t="s">
        <v>8</v>
      </c>
      <c r="C9" s="35" t="s">
        <v>9</v>
      </c>
      <c r="D9" s="35" t="s">
        <v>10</v>
      </c>
      <c r="E9" s="34" t="s">
        <v>11</v>
      </c>
      <c r="F9" s="34" t="s">
        <v>12</v>
      </c>
      <c r="G9" s="36" t="s">
        <v>13</v>
      </c>
      <c r="H9" s="36" t="s">
        <v>14</v>
      </c>
      <c r="I9" s="36" t="s">
        <v>15</v>
      </c>
    </row>
    <row r="10" spans="1:9" ht="20.100000000000001" customHeight="1" x14ac:dyDescent="0.25">
      <c r="A10" s="37">
        <f>IF(B10="", "", 'Exam Room 1'!A46 + 1)</f>
        <v>37</v>
      </c>
      <c r="B10" s="42" t="s">
        <v>107</v>
      </c>
      <c r="C10" s="40" t="s">
        <v>108</v>
      </c>
      <c r="D10" s="15" t="s">
        <v>18</v>
      </c>
      <c r="E10" s="49">
        <v>39208</v>
      </c>
      <c r="F10" s="15" t="s">
        <v>109</v>
      </c>
      <c r="G10" s="15" t="s">
        <v>20</v>
      </c>
      <c r="H10" s="15"/>
      <c r="I10" s="15"/>
    </row>
    <row r="11" spans="1:9" ht="20.100000000000001" customHeight="1" x14ac:dyDescent="0.25">
      <c r="A11" s="37">
        <f t="shared" ref="A11:A41" si="0">IF(B11="", "", A10 + 1)</f>
        <v>38</v>
      </c>
      <c r="B11" s="42" t="s">
        <v>110</v>
      </c>
      <c r="C11" s="40" t="s">
        <v>111</v>
      </c>
      <c r="D11" s="15" t="s">
        <v>18</v>
      </c>
      <c r="E11" s="49">
        <v>39099</v>
      </c>
      <c r="F11" s="15" t="s">
        <v>109</v>
      </c>
      <c r="G11" s="15" t="s">
        <v>20</v>
      </c>
      <c r="H11" s="15"/>
      <c r="I11" s="15"/>
    </row>
    <row r="12" spans="1:9" ht="20.100000000000001" customHeight="1" x14ac:dyDescent="0.25">
      <c r="A12" s="37">
        <f t="shared" si="0"/>
        <v>39</v>
      </c>
      <c r="B12" s="42" t="s">
        <v>112</v>
      </c>
      <c r="C12" s="40" t="s">
        <v>113</v>
      </c>
      <c r="D12" s="15" t="s">
        <v>18</v>
      </c>
      <c r="E12" s="49">
        <v>39574</v>
      </c>
      <c r="F12" s="15" t="s">
        <v>109</v>
      </c>
      <c r="G12" s="15" t="s">
        <v>20</v>
      </c>
      <c r="H12" s="15"/>
      <c r="I12" s="15"/>
    </row>
    <row r="13" spans="1:9" ht="20.100000000000001" customHeight="1" x14ac:dyDescent="0.25">
      <c r="A13" s="37">
        <f t="shared" si="0"/>
        <v>40</v>
      </c>
      <c r="B13" s="42" t="s">
        <v>114</v>
      </c>
      <c r="C13" s="40" t="s">
        <v>115</v>
      </c>
      <c r="D13" s="15" t="s">
        <v>18</v>
      </c>
      <c r="E13" s="49">
        <v>38862</v>
      </c>
      <c r="F13" s="15" t="s">
        <v>116</v>
      </c>
      <c r="G13" s="15" t="s">
        <v>20</v>
      </c>
      <c r="H13" s="15"/>
      <c r="I13" s="15"/>
    </row>
    <row r="14" spans="1:9" ht="20.100000000000001" customHeight="1" x14ac:dyDescent="0.25">
      <c r="A14" s="37">
        <f t="shared" si="0"/>
        <v>41</v>
      </c>
      <c r="B14" s="42" t="s">
        <v>117</v>
      </c>
      <c r="C14" s="40" t="s">
        <v>118</v>
      </c>
      <c r="D14" s="15" t="s">
        <v>23</v>
      </c>
      <c r="E14" s="49">
        <v>39838</v>
      </c>
      <c r="F14" s="15" t="s">
        <v>119</v>
      </c>
      <c r="G14" s="15" t="s">
        <v>20</v>
      </c>
      <c r="H14" s="15"/>
      <c r="I14" s="15"/>
    </row>
    <row r="15" spans="1:9" ht="20.100000000000001" customHeight="1" x14ac:dyDescent="0.25">
      <c r="A15" s="37">
        <f t="shared" si="0"/>
        <v>42</v>
      </c>
      <c r="B15" s="42" t="s">
        <v>120</v>
      </c>
      <c r="C15" s="40" t="s">
        <v>121</v>
      </c>
      <c r="D15" s="15" t="s">
        <v>18</v>
      </c>
      <c r="E15" s="49">
        <v>39795</v>
      </c>
      <c r="F15" s="15" t="s">
        <v>122</v>
      </c>
      <c r="G15" s="15" t="s">
        <v>20</v>
      </c>
      <c r="H15" s="15"/>
      <c r="I15" s="15" t="s">
        <v>84</v>
      </c>
    </row>
    <row r="16" spans="1:9" ht="20.100000000000001" customHeight="1" x14ac:dyDescent="0.25">
      <c r="A16" s="37">
        <f t="shared" si="0"/>
        <v>43</v>
      </c>
      <c r="B16" s="42" t="s">
        <v>123</v>
      </c>
      <c r="C16" s="40" t="s">
        <v>124</v>
      </c>
      <c r="D16" s="15" t="s">
        <v>18</v>
      </c>
      <c r="E16" s="49">
        <v>39751</v>
      </c>
      <c r="F16" s="15" t="s">
        <v>125</v>
      </c>
      <c r="G16" s="15" t="s">
        <v>20</v>
      </c>
      <c r="H16" s="15"/>
      <c r="I16" s="15"/>
    </row>
    <row r="17" spans="1:9" ht="20.100000000000001" customHeight="1" x14ac:dyDescent="0.25">
      <c r="A17" s="37">
        <f t="shared" si="0"/>
        <v>44</v>
      </c>
      <c r="B17" s="42" t="s">
        <v>126</v>
      </c>
      <c r="C17" s="40" t="s">
        <v>66</v>
      </c>
      <c r="D17" s="15" t="s">
        <v>18</v>
      </c>
      <c r="E17" s="49">
        <v>39719</v>
      </c>
      <c r="F17" s="15" t="s">
        <v>127</v>
      </c>
      <c r="G17" s="15" t="s">
        <v>20</v>
      </c>
      <c r="H17" s="15"/>
      <c r="I17" s="15"/>
    </row>
    <row r="18" spans="1:9" ht="20.100000000000001" customHeight="1" x14ac:dyDescent="0.25">
      <c r="A18" s="37">
        <f t="shared" si="0"/>
        <v>45</v>
      </c>
      <c r="B18" s="42" t="s">
        <v>128</v>
      </c>
      <c r="C18" s="40" t="s">
        <v>129</v>
      </c>
      <c r="D18" s="15" t="s">
        <v>18</v>
      </c>
      <c r="E18" s="49">
        <v>40246</v>
      </c>
      <c r="F18" s="50" t="s">
        <v>130</v>
      </c>
      <c r="G18" s="15" t="s">
        <v>20</v>
      </c>
      <c r="H18" s="15"/>
      <c r="I18" s="15"/>
    </row>
    <row r="19" spans="1:9" ht="20.100000000000001" customHeight="1" x14ac:dyDescent="0.25">
      <c r="A19" s="37">
        <f t="shared" si="0"/>
        <v>46</v>
      </c>
      <c r="B19" s="42" t="s">
        <v>131</v>
      </c>
      <c r="C19" s="40" t="s">
        <v>132</v>
      </c>
      <c r="D19" s="15" t="s">
        <v>23</v>
      </c>
      <c r="E19" s="49">
        <v>40503</v>
      </c>
      <c r="F19" s="50" t="s">
        <v>130</v>
      </c>
      <c r="G19" s="15" t="s">
        <v>20</v>
      </c>
      <c r="H19" s="15"/>
      <c r="I19" s="15"/>
    </row>
    <row r="20" spans="1:9" ht="20.100000000000001" customHeight="1" x14ac:dyDescent="0.25">
      <c r="A20" s="37">
        <f t="shared" si="0"/>
        <v>47</v>
      </c>
      <c r="B20" s="42" t="s">
        <v>133</v>
      </c>
      <c r="C20" s="40" t="s">
        <v>134</v>
      </c>
      <c r="D20" s="15" t="s">
        <v>23</v>
      </c>
      <c r="E20" s="49">
        <v>39886</v>
      </c>
      <c r="F20" s="15" t="s">
        <v>41</v>
      </c>
      <c r="G20" s="15" t="s">
        <v>20</v>
      </c>
      <c r="H20" s="15"/>
      <c r="I20" s="15"/>
    </row>
    <row r="21" spans="1:9" ht="20.100000000000001" customHeight="1" x14ac:dyDescent="0.25">
      <c r="A21" s="37">
        <f t="shared" si="0"/>
        <v>48</v>
      </c>
      <c r="B21" s="42" t="s">
        <v>135</v>
      </c>
      <c r="C21" s="40" t="s">
        <v>136</v>
      </c>
      <c r="D21" s="15" t="s">
        <v>18</v>
      </c>
      <c r="E21" s="49">
        <v>39248</v>
      </c>
      <c r="F21" s="42" t="s">
        <v>24</v>
      </c>
      <c r="G21" s="15" t="s">
        <v>20</v>
      </c>
      <c r="H21" s="15"/>
      <c r="I21" s="15"/>
    </row>
    <row r="22" spans="1:9" ht="20.100000000000001" customHeight="1" x14ac:dyDescent="0.25">
      <c r="A22" s="37">
        <f t="shared" si="0"/>
        <v>49</v>
      </c>
      <c r="B22" s="42" t="s">
        <v>137</v>
      </c>
      <c r="C22" s="40" t="s">
        <v>138</v>
      </c>
      <c r="D22" s="15" t="s">
        <v>18</v>
      </c>
      <c r="E22" s="49">
        <v>39458</v>
      </c>
      <c r="F22" s="42" t="s">
        <v>24</v>
      </c>
      <c r="G22" s="15" t="s">
        <v>20</v>
      </c>
      <c r="H22" s="15"/>
      <c r="I22" s="15"/>
    </row>
    <row r="23" spans="1:9" ht="20.100000000000001" customHeight="1" x14ac:dyDescent="0.25">
      <c r="A23" s="37">
        <f t="shared" si="0"/>
        <v>50</v>
      </c>
      <c r="B23" s="38" t="s">
        <v>139</v>
      </c>
      <c r="C23" s="39" t="s">
        <v>140</v>
      </c>
      <c r="D23" s="40" t="s">
        <v>18</v>
      </c>
      <c r="E23" s="41">
        <v>39783</v>
      </c>
      <c r="F23" s="42" t="s">
        <v>41</v>
      </c>
      <c r="G23" s="15" t="s">
        <v>141</v>
      </c>
      <c r="H23" s="15"/>
      <c r="I23" s="43" t="s">
        <v>42</v>
      </c>
    </row>
    <row r="24" spans="1:9" ht="20.100000000000001" customHeight="1" x14ac:dyDescent="0.25">
      <c r="A24" s="37">
        <f t="shared" si="0"/>
        <v>51</v>
      </c>
      <c r="B24" s="38" t="s">
        <v>142</v>
      </c>
      <c r="C24" s="39" t="s">
        <v>143</v>
      </c>
      <c r="D24" s="40" t="s">
        <v>18</v>
      </c>
      <c r="E24" s="75">
        <v>40074</v>
      </c>
      <c r="F24" s="42" t="s">
        <v>41</v>
      </c>
      <c r="G24" s="15" t="s">
        <v>141</v>
      </c>
      <c r="H24" s="15"/>
      <c r="I24" s="43" t="s">
        <v>42</v>
      </c>
    </row>
    <row r="25" spans="1:9" ht="20.100000000000001" customHeight="1" x14ac:dyDescent="0.25">
      <c r="A25" s="37">
        <f t="shared" si="0"/>
        <v>52</v>
      </c>
      <c r="B25" s="42" t="s">
        <v>80</v>
      </c>
      <c r="C25" s="40" t="s">
        <v>144</v>
      </c>
      <c r="D25" s="40" t="s">
        <v>18</v>
      </c>
      <c r="E25" s="46">
        <v>39259</v>
      </c>
      <c r="F25" s="42" t="s">
        <v>41</v>
      </c>
      <c r="G25" s="15" t="s">
        <v>141</v>
      </c>
      <c r="H25" s="51"/>
      <c r="I25" s="43" t="s">
        <v>42</v>
      </c>
    </row>
    <row r="26" spans="1:9" ht="20.100000000000001" customHeight="1" x14ac:dyDescent="0.25">
      <c r="A26" s="37">
        <f t="shared" si="0"/>
        <v>53</v>
      </c>
      <c r="B26" s="42" t="s">
        <v>77</v>
      </c>
      <c r="C26" s="40" t="s">
        <v>145</v>
      </c>
      <c r="D26" s="40" t="s">
        <v>18</v>
      </c>
      <c r="E26" s="46">
        <v>39226</v>
      </c>
      <c r="F26" s="42" t="s">
        <v>122</v>
      </c>
      <c r="G26" s="15" t="s">
        <v>141</v>
      </c>
      <c r="H26" s="51"/>
      <c r="I26" s="43" t="s">
        <v>42</v>
      </c>
    </row>
    <row r="27" spans="1:9" ht="20.100000000000001" customHeight="1" x14ac:dyDescent="0.25">
      <c r="A27" s="37">
        <f t="shared" si="0"/>
        <v>54</v>
      </c>
      <c r="B27" s="42" t="s">
        <v>121</v>
      </c>
      <c r="C27" s="40" t="s">
        <v>146</v>
      </c>
      <c r="D27" s="40" t="s">
        <v>18</v>
      </c>
      <c r="E27" s="46">
        <v>40195</v>
      </c>
      <c r="F27" s="42" t="s">
        <v>147</v>
      </c>
      <c r="G27" s="15" t="s">
        <v>141</v>
      </c>
      <c r="H27" s="51"/>
      <c r="I27" s="43"/>
    </row>
    <row r="28" spans="1:9" ht="20.100000000000001" customHeight="1" x14ac:dyDescent="0.25">
      <c r="A28" s="37">
        <f t="shared" si="0"/>
        <v>55</v>
      </c>
      <c r="B28" s="42" t="s">
        <v>148</v>
      </c>
      <c r="C28" s="40" t="s">
        <v>149</v>
      </c>
      <c r="D28" s="40" t="s">
        <v>18</v>
      </c>
      <c r="E28" s="46">
        <v>39982</v>
      </c>
      <c r="F28" s="42" t="s">
        <v>127</v>
      </c>
      <c r="G28" s="15" t="s">
        <v>141</v>
      </c>
      <c r="H28" s="51"/>
      <c r="I28" s="43" t="s">
        <v>84</v>
      </c>
    </row>
    <row r="29" spans="1:9" ht="20.100000000000001" customHeight="1" x14ac:dyDescent="0.25">
      <c r="A29" s="37">
        <f t="shared" si="0"/>
        <v>56</v>
      </c>
      <c r="B29" s="42" t="s">
        <v>150</v>
      </c>
      <c r="C29" s="40" t="s">
        <v>151</v>
      </c>
      <c r="D29" s="40" t="s">
        <v>18</v>
      </c>
      <c r="E29" s="46">
        <v>40068</v>
      </c>
      <c r="F29" s="42" t="s">
        <v>152</v>
      </c>
      <c r="G29" s="15" t="s">
        <v>141</v>
      </c>
      <c r="H29" s="51"/>
      <c r="I29" s="43"/>
    </row>
    <row r="30" spans="1:9" ht="20.100000000000001" customHeight="1" x14ac:dyDescent="0.25">
      <c r="A30" s="37">
        <f t="shared" si="0"/>
        <v>57</v>
      </c>
      <c r="B30" s="42" t="s">
        <v>153</v>
      </c>
      <c r="C30" s="40" t="s">
        <v>154</v>
      </c>
      <c r="D30" s="40" t="s">
        <v>18</v>
      </c>
      <c r="E30" s="46">
        <v>39982</v>
      </c>
      <c r="F30" s="42" t="s">
        <v>127</v>
      </c>
      <c r="G30" s="15" t="s">
        <v>141</v>
      </c>
      <c r="H30" s="51"/>
      <c r="I30" s="43" t="s">
        <v>84</v>
      </c>
    </row>
    <row r="31" spans="1:9" ht="20.100000000000001" customHeight="1" x14ac:dyDescent="0.25">
      <c r="A31" s="37">
        <f t="shared" si="0"/>
        <v>58</v>
      </c>
      <c r="B31" s="42" t="s">
        <v>155</v>
      </c>
      <c r="C31" s="40" t="s">
        <v>151</v>
      </c>
      <c r="D31" s="40" t="s">
        <v>18</v>
      </c>
      <c r="E31" s="46">
        <v>38544</v>
      </c>
      <c r="F31" s="42" t="s">
        <v>127</v>
      </c>
      <c r="G31" s="15" t="s">
        <v>141</v>
      </c>
      <c r="H31" s="51"/>
      <c r="I31" s="43"/>
    </row>
    <row r="32" spans="1:9" ht="20.100000000000001" customHeight="1" x14ac:dyDescent="0.25">
      <c r="A32" s="37">
        <f t="shared" si="0"/>
        <v>59</v>
      </c>
      <c r="B32" s="42" t="s">
        <v>156</v>
      </c>
      <c r="C32" s="40" t="s">
        <v>157</v>
      </c>
      <c r="D32" s="40" t="s">
        <v>23</v>
      </c>
      <c r="E32" s="46">
        <v>39186</v>
      </c>
      <c r="F32" s="42" t="s">
        <v>109</v>
      </c>
      <c r="G32" s="15" t="s">
        <v>141</v>
      </c>
      <c r="H32" s="51"/>
      <c r="I32" s="43"/>
    </row>
    <row r="33" spans="1:12" ht="20.100000000000001" customHeight="1" x14ac:dyDescent="0.25">
      <c r="A33" s="37">
        <f t="shared" si="0"/>
        <v>60</v>
      </c>
      <c r="B33" s="42" t="s">
        <v>158</v>
      </c>
      <c r="C33" s="40" t="s">
        <v>159</v>
      </c>
      <c r="D33" s="40" t="s">
        <v>23</v>
      </c>
      <c r="E33" s="46">
        <v>39187</v>
      </c>
      <c r="F33" s="42" t="s">
        <v>116</v>
      </c>
      <c r="G33" s="15" t="s">
        <v>141</v>
      </c>
      <c r="H33" s="15"/>
      <c r="I33" s="51"/>
    </row>
    <row r="34" spans="1:12" ht="20.100000000000001" customHeight="1" x14ac:dyDescent="0.25">
      <c r="A34" s="37">
        <f t="shared" si="0"/>
        <v>61</v>
      </c>
      <c r="B34" s="42" t="s">
        <v>160</v>
      </c>
      <c r="C34" s="40" t="s">
        <v>161</v>
      </c>
      <c r="D34" s="15" t="s">
        <v>18</v>
      </c>
      <c r="E34" s="49">
        <v>38841</v>
      </c>
      <c r="F34" s="15" t="s">
        <v>41</v>
      </c>
      <c r="G34" s="15" t="s">
        <v>58</v>
      </c>
      <c r="H34" s="15"/>
      <c r="I34" s="15" t="s">
        <v>42</v>
      </c>
    </row>
    <row r="35" spans="1:12" ht="20.100000000000001" customHeight="1" x14ac:dyDescent="0.25">
      <c r="A35" s="37">
        <f t="shared" si="0"/>
        <v>62</v>
      </c>
      <c r="B35" s="42" t="s">
        <v>162</v>
      </c>
      <c r="C35" s="40" t="s">
        <v>82</v>
      </c>
      <c r="D35" s="40" t="s">
        <v>18</v>
      </c>
      <c r="E35" s="44">
        <v>38445</v>
      </c>
      <c r="F35" s="42" t="s">
        <v>41</v>
      </c>
      <c r="G35" s="15" t="s">
        <v>58</v>
      </c>
      <c r="H35" s="15"/>
      <c r="I35" s="15" t="s">
        <v>42</v>
      </c>
    </row>
    <row r="36" spans="1:12" ht="20.100000000000001" customHeight="1" x14ac:dyDescent="0.25">
      <c r="A36" s="37">
        <f t="shared" si="0"/>
        <v>63</v>
      </c>
      <c r="B36" s="42" t="s">
        <v>163</v>
      </c>
      <c r="C36" s="40" t="s">
        <v>164</v>
      </c>
      <c r="D36" s="40" t="s">
        <v>18</v>
      </c>
      <c r="E36" s="75">
        <v>39714</v>
      </c>
      <c r="F36" s="42" t="s">
        <v>41</v>
      </c>
      <c r="G36" s="15" t="s">
        <v>58</v>
      </c>
      <c r="H36" s="15"/>
      <c r="I36" s="15" t="s">
        <v>42</v>
      </c>
    </row>
    <row r="37" spans="1:12" ht="20.100000000000001" customHeight="1" x14ac:dyDescent="0.25">
      <c r="A37" s="37">
        <f t="shared" si="0"/>
        <v>64</v>
      </c>
      <c r="B37" s="42" t="s">
        <v>165</v>
      </c>
      <c r="C37" s="40" t="s">
        <v>166</v>
      </c>
      <c r="D37" s="40" t="s">
        <v>23</v>
      </c>
      <c r="E37" s="76">
        <v>38727</v>
      </c>
      <c r="F37" s="42" t="s">
        <v>109</v>
      </c>
      <c r="G37" s="15" t="s">
        <v>20</v>
      </c>
      <c r="H37" s="15"/>
      <c r="I37" s="15"/>
    </row>
    <row r="38" spans="1:12" ht="20.100000000000001" customHeight="1" x14ac:dyDescent="0.25">
      <c r="A38" s="37">
        <f t="shared" si="0"/>
        <v>65</v>
      </c>
      <c r="B38" s="42" t="s">
        <v>167</v>
      </c>
      <c r="C38" s="40" t="s">
        <v>168</v>
      </c>
      <c r="D38" s="40" t="s">
        <v>18</v>
      </c>
      <c r="E38" s="76">
        <v>39248</v>
      </c>
      <c r="F38" s="42" t="s">
        <v>169</v>
      </c>
      <c r="G38" s="15" t="s">
        <v>141</v>
      </c>
      <c r="H38" s="15"/>
      <c r="I38" s="15"/>
    </row>
    <row r="39" spans="1:12" ht="20.100000000000001" customHeight="1" x14ac:dyDescent="0.25">
      <c r="A39" s="37">
        <f t="shared" si="0"/>
        <v>66</v>
      </c>
      <c r="B39" s="42" t="s">
        <v>170</v>
      </c>
      <c r="C39" s="40" t="s">
        <v>171</v>
      </c>
      <c r="D39" s="40" t="s">
        <v>18</v>
      </c>
      <c r="E39" s="76">
        <v>39158</v>
      </c>
      <c r="F39" s="42" t="s">
        <v>172</v>
      </c>
      <c r="G39" s="15" t="s">
        <v>141</v>
      </c>
      <c r="H39" s="15"/>
      <c r="I39" s="15"/>
    </row>
    <row r="40" spans="1:12" ht="20.100000000000001" customHeight="1" x14ac:dyDescent="0.25">
      <c r="A40" s="37">
        <f t="shared" si="0"/>
        <v>67</v>
      </c>
      <c r="B40" s="42" t="s">
        <v>16</v>
      </c>
      <c r="C40" s="40" t="s">
        <v>173</v>
      </c>
      <c r="D40" s="40" t="s">
        <v>18</v>
      </c>
      <c r="E40" s="41">
        <v>40165</v>
      </c>
      <c r="F40" s="42" t="s">
        <v>19</v>
      </c>
      <c r="G40" s="15" t="s">
        <v>58</v>
      </c>
      <c r="H40" s="15"/>
      <c r="I40" s="15" t="s">
        <v>42</v>
      </c>
    </row>
    <row r="41" spans="1:12" ht="20.100000000000001" customHeight="1" x14ac:dyDescent="0.25">
      <c r="A41" s="37">
        <f t="shared" si="0"/>
        <v>68</v>
      </c>
      <c r="B41" s="42" t="s">
        <v>174</v>
      </c>
      <c r="C41" s="40" t="s">
        <v>175</v>
      </c>
      <c r="D41" s="40" t="s">
        <v>23</v>
      </c>
      <c r="E41" s="41">
        <v>39550</v>
      </c>
      <c r="F41" s="42" t="s">
        <v>109</v>
      </c>
      <c r="G41" s="15" t="s">
        <v>20</v>
      </c>
      <c r="H41" s="15"/>
      <c r="I41" s="15"/>
    </row>
    <row r="42" spans="1:12" ht="19.5" customHeight="1" x14ac:dyDescent="0.25">
      <c r="A42" s="9"/>
      <c r="B42" s="10"/>
      <c r="C42" s="10"/>
      <c r="D42" s="10"/>
      <c r="E42" s="10"/>
      <c r="F42" s="11"/>
      <c r="G42" s="11"/>
      <c r="H42" s="13"/>
      <c r="K42" s="32"/>
      <c r="L42" s="32"/>
    </row>
    <row r="43" spans="1:12" ht="19.5" customHeight="1" x14ac:dyDescent="0.25">
      <c r="A43" s="3"/>
      <c r="B43" s="4"/>
      <c r="C43" s="4"/>
      <c r="D43" s="4"/>
      <c r="E43" s="4"/>
      <c r="F43" s="7"/>
      <c r="G43" s="7"/>
      <c r="H43" s="6"/>
    </row>
    <row r="44" spans="1:12" ht="19.5" customHeight="1" x14ac:dyDescent="0.25">
      <c r="A44" s="3"/>
      <c r="B44" s="4"/>
      <c r="C44" s="4"/>
      <c r="D44" s="24"/>
      <c r="E44" s="4"/>
      <c r="F44" s="7"/>
      <c r="G44" s="7"/>
      <c r="H44" s="6"/>
    </row>
    <row r="45" spans="1:12" ht="19.5" customHeight="1" x14ac:dyDescent="0.25">
      <c r="A45" s="3"/>
      <c r="B45" s="4"/>
      <c r="C45" s="4"/>
      <c r="D45" s="24"/>
      <c r="E45" s="4"/>
      <c r="F45" s="7"/>
      <c r="G45" s="7"/>
      <c r="H45" s="6"/>
    </row>
    <row r="50" spans="8:8" x14ac:dyDescent="0.25">
      <c r="H50" s="25" t="str" cm="1">
        <f>"បញ្ឈប់បញ្ជីត្រឹមឈ្មោះ " &amp; LOOKUP(2,1/(B:B&lt;&gt;""),B:B) &amp; " " &amp;LOOKUP(2,1/(C:C&lt;&gt;""),C:C) &amp; "  ចំនួនសិស្សសរុប "&amp; COUNTIF(A10:A40,"&lt;&gt;""") &amp; "នាក់  នៅក្នុងនោះមានស្រី " &amp; COUNTIF(Attendant_Gender,"ស") &amp; "នាក់"</f>
        <v>បញ្ឈប់បញ្ជីត្រឹមឈ្មោះ នាង ស្រីណុច  ចំនួនសិស្សសរុប 31នាក់  នៅក្នុងនោះមានស្រី 6នាក់</v>
      </c>
    </row>
  </sheetData>
  <mergeCells count="8">
    <mergeCell ref="A6:F6"/>
    <mergeCell ref="A7:I7"/>
    <mergeCell ref="A8:I8"/>
    <mergeCell ref="A1:I1"/>
    <mergeCell ref="A2:I2"/>
    <mergeCell ref="A3:I3"/>
    <mergeCell ref="A4:F4"/>
    <mergeCell ref="A5:F5"/>
  </mergeCells>
  <pageMargins left="0.25" right="0.25" top="0.75" bottom="0.75" header="0.3" footer="0.3"/>
  <pageSetup paperSize="9" fitToHeight="0"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4C446-2877-4C79-A94E-A3A4724154F0}">
  <sheetPr codeName="Sheet1">
    <tabColor rgb="FF00B0F0"/>
  </sheetPr>
  <dimension ref="A1:L61"/>
  <sheetViews>
    <sheetView zoomScaleNormal="100" zoomScaleSheetLayoutView="145" workbookViewId="0">
      <selection activeCell="A10" sqref="A10:XFD10"/>
    </sheetView>
  </sheetViews>
  <sheetFormatPr defaultRowHeight="15" x14ac:dyDescent="0.25"/>
  <cols>
    <col min="1" max="1" width="3.85546875" style="27" customWidth="1"/>
    <col min="2" max="2" width="10" style="60" customWidth="1"/>
    <col min="3" max="3" width="15.5703125" style="8" customWidth="1"/>
    <col min="4" max="4" width="6.7109375" style="8" customWidth="1"/>
    <col min="5" max="5" width="14.85546875" style="66" customWidth="1"/>
    <col min="6" max="6" width="6.7109375" style="8" customWidth="1"/>
    <col min="7" max="7" width="17.28515625" style="8" customWidth="1"/>
    <col min="8" max="8" width="14.85546875" style="8" customWidth="1"/>
    <col min="9" max="9" width="7.85546875" customWidth="1"/>
    <col min="10" max="10" width="7.85546875" style="8" customWidth="1"/>
    <col min="11" max="11" width="17.28515625" style="8" customWidth="1"/>
    <col min="12" max="12" width="16.28515625" style="8" customWidth="1"/>
  </cols>
  <sheetData>
    <row r="1" spans="1:12" ht="30" customHeight="1" x14ac:dyDescent="0.25">
      <c r="A1" s="113" t="s">
        <v>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</row>
    <row r="2" spans="1:12" ht="23.25" customHeight="1" x14ac:dyDescent="0.25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</row>
    <row r="3" spans="1:12" ht="21" customHeight="1" x14ac:dyDescent="0.25">
      <c r="A3" s="116">
        <v>3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</row>
    <row r="4" spans="1:12" ht="21" customHeight="1" x14ac:dyDescent="0.25">
      <c r="A4" s="117" t="s">
        <v>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6"/>
    </row>
    <row r="5" spans="1:12" ht="21" customHeight="1" x14ac:dyDescent="0.25">
      <c r="A5" s="117" t="s">
        <v>41</v>
      </c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6"/>
    </row>
    <row r="6" spans="1:12" ht="21" customHeight="1" x14ac:dyDescent="0.25">
      <c r="A6" s="109" t="s">
        <v>5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</row>
    <row r="7" spans="1:12" ht="21" customHeight="1" x14ac:dyDescent="0.25">
      <c r="A7" s="109" t="s">
        <v>176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</row>
    <row r="8" spans="1:12" ht="18" customHeight="1" x14ac:dyDescent="0.25">
      <c r="A8" s="110" t="s">
        <v>177</v>
      </c>
      <c r="B8" s="110" t="s">
        <v>8</v>
      </c>
      <c r="C8" s="110" t="s">
        <v>9</v>
      </c>
      <c r="D8" s="110" t="s">
        <v>10</v>
      </c>
      <c r="E8" s="111" t="s">
        <v>11</v>
      </c>
      <c r="F8" s="110" t="s">
        <v>178</v>
      </c>
      <c r="G8" s="112" t="s">
        <v>179</v>
      </c>
      <c r="H8" s="110"/>
      <c r="I8" s="110"/>
      <c r="J8" s="110"/>
      <c r="K8" s="110" t="s">
        <v>12</v>
      </c>
      <c r="L8" s="110" t="s">
        <v>15</v>
      </c>
    </row>
    <row r="9" spans="1:12" ht="25.9" customHeight="1" x14ac:dyDescent="0.25">
      <c r="A9" s="110"/>
      <c r="B9" s="110"/>
      <c r="C9" s="110"/>
      <c r="D9" s="110"/>
      <c r="E9" s="111"/>
      <c r="F9" s="110"/>
      <c r="G9" s="64" t="s">
        <v>180</v>
      </c>
      <c r="H9" s="61" t="s">
        <v>181</v>
      </c>
      <c r="I9" s="61" t="s">
        <v>7</v>
      </c>
      <c r="J9" s="61" t="s">
        <v>182</v>
      </c>
      <c r="K9" s="110"/>
      <c r="L9" s="110"/>
    </row>
    <row r="10" spans="1:12" ht="18" hidden="1" customHeight="1" x14ac:dyDescent="0.25">
      <c r="A10" s="62">
        <v>1</v>
      </c>
      <c r="B10" s="63" t="s">
        <v>183</v>
      </c>
      <c r="C10" s="63" t="s">
        <v>184</v>
      </c>
      <c r="D10" s="15" t="s">
        <v>23</v>
      </c>
      <c r="E10" s="92">
        <v>40134</v>
      </c>
      <c r="F10" s="67">
        <f ca="1">IF(E10 &lt;&gt; "",YEAR(NOW())-YEAR(E10), "")</f>
        <v>16</v>
      </c>
      <c r="G10" s="90" t="s">
        <v>185</v>
      </c>
      <c r="H10" s="91">
        <v>45852</v>
      </c>
      <c r="I10" s="62"/>
      <c r="J10" s="62"/>
      <c r="K10" s="63" t="s">
        <v>186</v>
      </c>
      <c r="L10" s="93"/>
    </row>
    <row r="11" spans="1:12" ht="23.45" customHeight="1" x14ac:dyDescent="0.25">
      <c r="A11" s="106"/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</row>
    <row r="12" spans="1:12" ht="24.75" customHeight="1" x14ac:dyDescent="0.25">
      <c r="A12" s="28"/>
      <c r="B12" s="107">
        <v>0</v>
      </c>
      <c r="C12" s="107"/>
      <c r="D12" s="57"/>
      <c r="E12" s="65"/>
      <c r="F12" s="89"/>
      <c r="G12" s="108" t="s">
        <v>187</v>
      </c>
      <c r="H12" s="108"/>
      <c r="I12" s="108"/>
      <c r="J12" s="108"/>
      <c r="K12" s="108"/>
      <c r="L12" s="108"/>
    </row>
    <row r="13" spans="1:12" ht="23.45" customHeight="1" x14ac:dyDescent="0.25">
      <c r="A13" s="26"/>
      <c r="B13" s="107">
        <v>0</v>
      </c>
      <c r="C13" s="107"/>
      <c r="G13" s="108" t="str">
        <f>_xlfn.CONCAT("   ដុនបូស្កូប៉ោយប៉ែត ថ្ងៃទី","១៣","   ខែ","កញ្ញា","    ឆ្នាំ","២០២៤")</f>
        <v xml:space="preserve">   ដុនបូស្កូប៉ោយប៉ែត ថ្ងៃទី១៣   ខែកញ្ញា    ឆ្នាំ២០២៤</v>
      </c>
      <c r="H13" s="108"/>
      <c r="I13" s="108"/>
      <c r="J13" s="108"/>
      <c r="K13" s="108"/>
      <c r="L13" s="108"/>
    </row>
    <row r="14" spans="1:12" ht="22.15" customHeight="1" x14ac:dyDescent="0.25">
      <c r="B14" s="8"/>
      <c r="G14" s="74"/>
      <c r="H14" s="104" t="s">
        <v>189</v>
      </c>
      <c r="I14" s="104"/>
      <c r="J14" s="104"/>
      <c r="K14" s="104"/>
      <c r="L14" s="104"/>
    </row>
    <row r="15" spans="1:12" ht="23.25" customHeight="1" x14ac:dyDescent="0.25">
      <c r="A15" s="28"/>
      <c r="B15" s="105" t="s">
        <v>190</v>
      </c>
      <c r="C15" s="105"/>
      <c r="D15" s="105"/>
      <c r="E15" s="105"/>
    </row>
    <row r="16" spans="1:12" ht="23.25" customHeight="1" x14ac:dyDescent="0.25">
      <c r="A16" s="28"/>
      <c r="B16" s="104" t="s">
        <v>191</v>
      </c>
      <c r="C16" s="104"/>
      <c r="D16" s="104"/>
      <c r="E16" s="104"/>
      <c r="F16" s="59"/>
      <c r="G16" s="59"/>
      <c r="H16" s="59"/>
      <c r="J16" s="7"/>
      <c r="K16" s="29"/>
    </row>
    <row r="17" spans="1:8" ht="21" customHeight="1" x14ac:dyDescent="0.25">
      <c r="A17" s="28"/>
      <c r="B17" s="8"/>
      <c r="F17" s="58"/>
      <c r="G17" s="58"/>
      <c r="H17" s="58"/>
    </row>
    <row r="18" spans="1:8" ht="19.5" customHeight="1" x14ac:dyDescent="0.25">
      <c r="A18" s="28"/>
      <c r="B18" s="7"/>
      <c r="F18" s="18"/>
      <c r="G18" s="18"/>
    </row>
    <row r="19" spans="1:8" ht="19.5" customHeight="1" x14ac:dyDescent="0.25">
      <c r="B19" s="8"/>
      <c r="F19" s="18"/>
      <c r="G19" s="18"/>
    </row>
    <row r="20" spans="1:8" ht="19.5" customHeight="1" x14ac:dyDescent="0.25">
      <c r="B20" s="8"/>
      <c r="F20" s="18"/>
      <c r="G20" s="18"/>
    </row>
    <row r="21" spans="1:8" ht="19.5" customHeight="1" x14ac:dyDescent="0.25">
      <c r="B21" s="8"/>
      <c r="F21" s="18"/>
      <c r="G21" s="18"/>
    </row>
    <row r="22" spans="1:8" ht="19.5" customHeight="1" x14ac:dyDescent="0.25">
      <c r="B22" s="8"/>
      <c r="F22" s="18"/>
      <c r="G22" s="18"/>
    </row>
    <row r="23" spans="1:8" ht="19.5" customHeight="1" x14ac:dyDescent="0.25">
      <c r="B23" s="8"/>
      <c r="F23" s="18"/>
      <c r="G23" s="18"/>
    </row>
    <row r="24" spans="1:8" ht="19.5" customHeight="1" x14ac:dyDescent="0.25">
      <c r="B24" s="8"/>
      <c r="F24" s="18"/>
      <c r="G24" s="18"/>
    </row>
    <row r="25" spans="1:8" ht="19.5" customHeight="1" x14ac:dyDescent="0.25">
      <c r="B25" s="8"/>
      <c r="F25" s="18"/>
      <c r="G25" s="18"/>
    </row>
    <row r="26" spans="1:8" ht="19.5" customHeight="1" x14ac:dyDescent="0.25">
      <c r="B26" s="8"/>
      <c r="F26" s="18"/>
      <c r="G26" s="18"/>
    </row>
    <row r="27" spans="1:8" ht="19.5" customHeight="1" x14ac:dyDescent="0.25">
      <c r="B27" s="8"/>
      <c r="F27" s="18"/>
      <c r="G27" s="18"/>
    </row>
    <row r="28" spans="1:8" ht="19.5" customHeight="1" x14ac:dyDescent="0.25">
      <c r="B28" s="8"/>
      <c r="F28" s="18"/>
      <c r="G28" s="18"/>
    </row>
    <row r="29" spans="1:8" ht="19.5" customHeight="1" x14ac:dyDescent="0.25">
      <c r="B29" s="8"/>
      <c r="F29" s="18"/>
      <c r="G29" s="18"/>
    </row>
    <row r="30" spans="1:8" ht="19.5" customHeight="1" x14ac:dyDescent="0.25">
      <c r="B30" s="8"/>
      <c r="F30" s="18"/>
      <c r="G30" s="18"/>
    </row>
    <row r="31" spans="1:8" ht="19.5" customHeight="1" x14ac:dyDescent="0.25">
      <c r="B31" s="8"/>
      <c r="F31" s="18"/>
      <c r="G31" s="18"/>
    </row>
    <row r="32" spans="1:8" ht="19.5" customHeight="1" x14ac:dyDescent="0.25">
      <c r="B32" s="8"/>
      <c r="F32" s="18"/>
      <c r="G32" s="18"/>
    </row>
    <row r="33" spans="2:7" ht="19.5" customHeight="1" x14ac:dyDescent="0.25">
      <c r="B33" s="8"/>
      <c r="F33" s="18"/>
      <c r="G33" s="18"/>
    </row>
    <row r="34" spans="2:7" ht="19.5" customHeight="1" x14ac:dyDescent="0.25">
      <c r="B34" s="8"/>
      <c r="F34" s="18"/>
      <c r="G34" s="18"/>
    </row>
    <row r="35" spans="2:7" ht="19.5" customHeight="1" x14ac:dyDescent="0.25">
      <c r="B35" s="8"/>
      <c r="F35" s="18"/>
      <c r="G35" s="18"/>
    </row>
    <row r="36" spans="2:7" ht="19.5" customHeight="1" x14ac:dyDescent="0.25">
      <c r="B36" s="8"/>
      <c r="F36" s="18"/>
      <c r="G36" s="18"/>
    </row>
    <row r="37" spans="2:7" ht="19.5" customHeight="1" x14ac:dyDescent="0.25">
      <c r="B37" s="8"/>
      <c r="F37" s="18"/>
      <c r="G37" s="18"/>
    </row>
    <row r="38" spans="2:7" ht="19.5" customHeight="1" x14ac:dyDescent="0.25">
      <c r="B38" s="8"/>
      <c r="F38" s="18"/>
      <c r="G38" s="18"/>
    </row>
    <row r="39" spans="2:7" ht="19.5" customHeight="1" x14ac:dyDescent="0.25">
      <c r="B39" s="8"/>
      <c r="F39" s="18"/>
      <c r="G39" s="18"/>
    </row>
    <row r="40" spans="2:7" ht="19.5" customHeight="1" x14ac:dyDescent="0.25">
      <c r="B40" s="8"/>
      <c r="F40" s="18"/>
      <c r="G40" s="18"/>
    </row>
    <row r="41" spans="2:7" ht="19.5" customHeight="1" x14ac:dyDescent="0.25">
      <c r="B41" s="8"/>
      <c r="F41" s="18"/>
      <c r="G41" s="18"/>
    </row>
    <row r="42" spans="2:7" ht="19.5" customHeight="1" x14ac:dyDescent="0.25">
      <c r="B42" s="8"/>
      <c r="F42" s="18"/>
      <c r="G42" s="18"/>
    </row>
    <row r="43" spans="2:7" ht="19.5" customHeight="1" x14ac:dyDescent="0.25">
      <c r="B43" s="8"/>
      <c r="F43" s="18"/>
      <c r="G43" s="18"/>
    </row>
    <row r="44" spans="2:7" ht="19.5" customHeight="1" x14ac:dyDescent="0.25">
      <c r="B44" s="8"/>
      <c r="F44" s="18"/>
      <c r="G44" s="18"/>
    </row>
    <row r="45" spans="2:7" ht="19.5" customHeight="1" x14ac:dyDescent="0.25">
      <c r="B45" s="8"/>
      <c r="F45" s="18"/>
      <c r="G45" s="18"/>
    </row>
    <row r="46" spans="2:7" ht="19.5" customHeight="1" x14ac:dyDescent="0.25">
      <c r="B46" s="8"/>
      <c r="F46" s="18"/>
      <c r="G46" s="18"/>
    </row>
    <row r="47" spans="2:7" ht="19.5" customHeight="1" x14ac:dyDescent="0.25">
      <c r="B47" s="8"/>
      <c r="F47" s="18"/>
      <c r="G47" s="18"/>
    </row>
    <row r="48" spans="2:7" ht="19.5" customHeight="1" x14ac:dyDescent="0.25">
      <c r="B48" s="8"/>
      <c r="F48" s="18"/>
      <c r="G48" s="18"/>
    </row>
    <row r="49" spans="2:7" ht="19.5" customHeight="1" x14ac:dyDescent="0.25">
      <c r="B49" s="8"/>
      <c r="F49" s="18"/>
      <c r="G49" s="18"/>
    </row>
    <row r="50" spans="2:7" ht="19.5" customHeight="1" x14ac:dyDescent="0.25">
      <c r="B50" s="8"/>
      <c r="F50" s="18"/>
      <c r="G50" s="18"/>
    </row>
    <row r="51" spans="2:7" ht="19.5" customHeight="1" x14ac:dyDescent="0.25">
      <c r="B51" s="8"/>
      <c r="F51" s="18"/>
      <c r="G51" s="18"/>
    </row>
    <row r="52" spans="2:7" ht="19.5" customHeight="1" x14ac:dyDescent="0.25">
      <c r="B52" s="8"/>
      <c r="F52" s="18"/>
      <c r="G52" s="18"/>
    </row>
    <row r="53" spans="2:7" ht="19.5" customHeight="1" x14ac:dyDescent="0.25">
      <c r="B53" s="8"/>
      <c r="F53" s="18"/>
      <c r="G53" s="18"/>
    </row>
    <row r="54" spans="2:7" ht="19.5" customHeight="1" x14ac:dyDescent="0.25">
      <c r="B54" s="8"/>
      <c r="F54" s="18"/>
      <c r="G54" s="18"/>
    </row>
    <row r="55" spans="2:7" ht="19.5" customHeight="1" x14ac:dyDescent="0.25">
      <c r="B55" s="8"/>
      <c r="F55" s="18"/>
      <c r="G55" s="18"/>
    </row>
    <row r="56" spans="2:7" ht="19.5" customHeight="1" x14ac:dyDescent="0.25">
      <c r="B56" s="8"/>
      <c r="F56" s="18"/>
      <c r="G56" s="18"/>
    </row>
    <row r="57" spans="2:7" ht="19.5" customHeight="1" x14ac:dyDescent="0.25">
      <c r="B57" s="8"/>
      <c r="F57" s="18"/>
      <c r="G57" s="18"/>
    </row>
    <row r="58" spans="2:7" ht="19.5" customHeight="1" x14ac:dyDescent="0.25">
      <c r="B58" s="8"/>
      <c r="F58" s="18"/>
      <c r="G58" s="18"/>
    </row>
    <row r="59" spans="2:7" ht="19.5" customHeight="1" x14ac:dyDescent="0.25">
      <c r="B59" s="8"/>
      <c r="F59" s="18"/>
      <c r="G59" s="18"/>
    </row>
    <row r="60" spans="2:7" ht="19.5" customHeight="1" x14ac:dyDescent="0.25">
      <c r="B60" s="8"/>
      <c r="F60" s="18"/>
      <c r="G60" s="18"/>
    </row>
    <row r="61" spans="2:7" ht="19.5" customHeight="1" x14ac:dyDescent="0.25">
      <c r="B61" s="8"/>
      <c r="F61" s="18"/>
      <c r="G61" s="18"/>
    </row>
  </sheetData>
  <sortState xmlns:xlrd2="http://schemas.microsoft.com/office/spreadsheetml/2017/richdata2" ref="A8:L10">
    <sortCondition ref="B10"/>
  </sortState>
  <mergeCells count="24">
    <mergeCell ref="A1:L1"/>
    <mergeCell ref="A2:L2"/>
    <mergeCell ref="A3:L3"/>
    <mergeCell ref="A4:K4"/>
    <mergeCell ref="A5:K5"/>
    <mergeCell ref="A6:L6"/>
    <mergeCell ref="A7:L7"/>
    <mergeCell ref="A8:A9"/>
    <mergeCell ref="B8:B9"/>
    <mergeCell ref="C8:C9"/>
    <mergeCell ref="D8:D9"/>
    <mergeCell ref="E8:E9"/>
    <mergeCell ref="F8:F9"/>
    <mergeCell ref="G8:J8"/>
    <mergeCell ref="K8:K9"/>
    <mergeCell ref="L8:L9"/>
    <mergeCell ref="H14:L14"/>
    <mergeCell ref="B15:E15"/>
    <mergeCell ref="B16:E16"/>
    <mergeCell ref="A11:L11"/>
    <mergeCell ref="B12:C12"/>
    <mergeCell ref="G12:L12"/>
    <mergeCell ref="B13:C13"/>
    <mergeCell ref="G13:L13"/>
  </mergeCells>
  <phoneticPr fontId="7" type="noConversion"/>
  <printOptions horizontalCentered="1"/>
  <pageMargins left="0.25" right="0.25" top="0.75" bottom="0.75" header="0.3" footer="0.3"/>
  <pageSetup paperSize="9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F5CB9-CC25-44C8-A3D9-032F03C8590D}">
  <sheetPr>
    <tabColor rgb="FFFFFF00"/>
  </sheetPr>
  <dimension ref="A1:L61"/>
  <sheetViews>
    <sheetView zoomScaleNormal="100" zoomScaleSheetLayoutView="145" workbookViewId="0">
      <selection activeCell="A10" sqref="A10:XFD10"/>
    </sheetView>
  </sheetViews>
  <sheetFormatPr defaultRowHeight="15" x14ac:dyDescent="0.25"/>
  <cols>
    <col min="1" max="1" width="3.85546875" style="27" customWidth="1"/>
    <col min="2" max="2" width="10" style="60" customWidth="1"/>
    <col min="3" max="3" width="15.5703125" style="72" customWidth="1"/>
    <col min="4" max="4" width="6.7109375" style="72" customWidth="1"/>
    <col min="5" max="5" width="14.85546875" style="66" customWidth="1"/>
    <col min="6" max="6" width="6.7109375" style="72" customWidth="1"/>
    <col min="7" max="7" width="17.28515625" style="72" customWidth="1"/>
    <col min="8" max="8" width="14.85546875" style="72" customWidth="1"/>
    <col min="9" max="9" width="7.85546875" customWidth="1"/>
    <col min="10" max="10" width="7.85546875" style="72" customWidth="1"/>
    <col min="11" max="11" width="17.28515625" style="72" customWidth="1"/>
    <col min="12" max="12" width="16.28515625" style="72" customWidth="1"/>
  </cols>
  <sheetData>
    <row r="1" spans="1:12" ht="30" customHeight="1" x14ac:dyDescent="0.25">
      <c r="A1" s="113" t="s">
        <v>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</row>
    <row r="2" spans="1:12" ht="23.25" customHeight="1" x14ac:dyDescent="0.25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</row>
    <row r="3" spans="1:12" ht="21" customHeight="1" x14ac:dyDescent="0.25">
      <c r="A3" s="116">
        <v>3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</row>
    <row r="4" spans="1:12" ht="21" customHeight="1" x14ac:dyDescent="0.25">
      <c r="A4" s="117" t="s">
        <v>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6"/>
    </row>
    <row r="5" spans="1:12" ht="21" customHeight="1" x14ac:dyDescent="0.25">
      <c r="A5" s="117" t="s">
        <v>41</v>
      </c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6"/>
    </row>
    <row r="6" spans="1:12" ht="21" customHeight="1" x14ac:dyDescent="0.25">
      <c r="A6" s="109" t="s">
        <v>192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</row>
    <row r="7" spans="1:12" ht="21" customHeight="1" x14ac:dyDescent="0.25">
      <c r="A7" s="109" t="s">
        <v>176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</row>
    <row r="8" spans="1:12" ht="18" customHeight="1" x14ac:dyDescent="0.25">
      <c r="A8" s="110" t="s">
        <v>177</v>
      </c>
      <c r="B8" s="110" t="s">
        <v>8</v>
      </c>
      <c r="C8" s="110" t="s">
        <v>9</v>
      </c>
      <c r="D8" s="110" t="s">
        <v>10</v>
      </c>
      <c r="E8" s="111" t="s">
        <v>11</v>
      </c>
      <c r="F8" s="110" t="s">
        <v>178</v>
      </c>
      <c r="G8" s="112" t="s">
        <v>179</v>
      </c>
      <c r="H8" s="110"/>
      <c r="I8" s="110"/>
      <c r="J8" s="110"/>
      <c r="K8" s="110" t="s">
        <v>12</v>
      </c>
      <c r="L8" s="110" t="s">
        <v>15</v>
      </c>
    </row>
    <row r="9" spans="1:12" ht="25.5" customHeight="1" x14ac:dyDescent="0.25">
      <c r="A9" s="110"/>
      <c r="B9" s="110"/>
      <c r="C9" s="110"/>
      <c r="D9" s="110"/>
      <c r="E9" s="111"/>
      <c r="F9" s="110"/>
      <c r="G9" s="70" t="s">
        <v>180</v>
      </c>
      <c r="H9" s="71" t="s">
        <v>181</v>
      </c>
      <c r="I9" s="71" t="s">
        <v>7</v>
      </c>
      <c r="J9" s="71" t="s">
        <v>182</v>
      </c>
      <c r="K9" s="110"/>
      <c r="L9" s="110"/>
    </row>
    <row r="10" spans="1:12" ht="14.25" hidden="1" customHeight="1" x14ac:dyDescent="0.25">
      <c r="A10" s="62">
        <v>1</v>
      </c>
      <c r="B10" s="63" t="s">
        <v>183</v>
      </c>
      <c r="C10" s="63" t="s">
        <v>184</v>
      </c>
      <c r="D10" s="15" t="s">
        <v>23</v>
      </c>
      <c r="E10" s="92">
        <v>40134</v>
      </c>
      <c r="F10" s="67">
        <f ca="1">IF(E10 &lt;&gt; "",YEAR(NOW())-YEAR(E10), "")</f>
        <v>16</v>
      </c>
      <c r="G10" s="90" t="s">
        <v>185</v>
      </c>
      <c r="H10" s="91">
        <v>45852</v>
      </c>
      <c r="I10" s="62"/>
      <c r="J10" s="62"/>
      <c r="K10" s="63" t="s">
        <v>186</v>
      </c>
      <c r="L10" s="93"/>
    </row>
    <row r="11" spans="1:12" ht="23.45" customHeight="1" x14ac:dyDescent="0.25">
      <c r="A11" s="106"/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</row>
    <row r="12" spans="1:12" ht="24.75" customHeight="1" x14ac:dyDescent="0.25">
      <c r="A12" s="28"/>
      <c r="B12" s="107">
        <v>0</v>
      </c>
      <c r="C12" s="107"/>
      <c r="D12" s="57"/>
      <c r="E12" s="65"/>
      <c r="F12" s="57"/>
      <c r="G12" s="108" t="s">
        <v>187</v>
      </c>
      <c r="H12" s="108"/>
      <c r="I12" s="108"/>
      <c r="J12" s="108"/>
      <c r="K12" s="108"/>
      <c r="L12" s="108"/>
    </row>
    <row r="13" spans="1:12" ht="23.45" customHeight="1" x14ac:dyDescent="0.25">
      <c r="A13" s="26"/>
      <c r="B13" s="107">
        <v>0</v>
      </c>
      <c r="C13" s="107"/>
      <c r="G13" s="108" t="s">
        <v>188</v>
      </c>
      <c r="H13" s="108"/>
      <c r="I13" s="108"/>
      <c r="J13" s="108"/>
      <c r="K13" s="108"/>
      <c r="L13" s="108"/>
    </row>
    <row r="14" spans="1:12" ht="22.15" customHeight="1" x14ac:dyDescent="0.25">
      <c r="B14" s="72"/>
      <c r="H14" s="104" t="s">
        <v>189</v>
      </c>
      <c r="I14" s="104"/>
      <c r="J14" s="104"/>
      <c r="K14" s="104"/>
      <c r="L14" s="104"/>
    </row>
    <row r="15" spans="1:12" s="72" customFormat="1" ht="23.25" customHeight="1" x14ac:dyDescent="0.25">
      <c r="A15" s="28"/>
      <c r="B15" s="105" t="s">
        <v>190</v>
      </c>
      <c r="C15" s="105"/>
      <c r="D15" s="105"/>
      <c r="E15" s="105"/>
      <c r="I15"/>
    </row>
    <row r="16" spans="1:12" s="72" customFormat="1" ht="23.25" customHeight="1" x14ac:dyDescent="0.25">
      <c r="A16" s="28"/>
      <c r="B16" s="104" t="s">
        <v>191</v>
      </c>
      <c r="C16" s="104"/>
      <c r="D16" s="104"/>
      <c r="E16" s="104"/>
      <c r="F16" s="69"/>
      <c r="G16" s="69"/>
      <c r="H16" s="69"/>
      <c r="I16"/>
      <c r="J16" s="7"/>
      <c r="K16" s="73"/>
    </row>
    <row r="17" spans="1:9" s="72" customFormat="1" ht="21" customHeight="1" x14ac:dyDescent="0.25">
      <c r="A17" s="28"/>
      <c r="E17" s="66"/>
      <c r="F17" s="68"/>
      <c r="G17" s="68"/>
      <c r="H17" s="68"/>
      <c r="I17"/>
    </row>
    <row r="18" spans="1:9" s="72" customFormat="1" ht="19.5" customHeight="1" x14ac:dyDescent="0.25">
      <c r="A18" s="28"/>
      <c r="B18" s="7"/>
      <c r="E18" s="66"/>
      <c r="F18" s="18"/>
      <c r="G18" s="18"/>
      <c r="I18"/>
    </row>
    <row r="19" spans="1:9" s="72" customFormat="1" ht="19.5" customHeight="1" x14ac:dyDescent="0.25">
      <c r="A19" s="27"/>
      <c r="E19" s="66"/>
      <c r="F19" s="18"/>
      <c r="G19" s="18"/>
      <c r="I19"/>
    </row>
    <row r="20" spans="1:9" s="72" customFormat="1" ht="19.5" customHeight="1" x14ac:dyDescent="0.25">
      <c r="A20" s="27"/>
      <c r="E20" s="66"/>
      <c r="F20" s="18"/>
      <c r="G20" s="18"/>
      <c r="I20"/>
    </row>
    <row r="21" spans="1:9" s="72" customFormat="1" ht="19.5" customHeight="1" x14ac:dyDescent="0.25">
      <c r="A21" s="27"/>
      <c r="E21" s="66"/>
      <c r="F21" s="18"/>
      <c r="G21" s="18"/>
      <c r="I21"/>
    </row>
    <row r="22" spans="1:9" s="72" customFormat="1" ht="19.5" customHeight="1" x14ac:dyDescent="0.25">
      <c r="A22" s="27"/>
      <c r="E22" s="66"/>
      <c r="F22" s="18"/>
      <c r="G22" s="18"/>
      <c r="I22"/>
    </row>
    <row r="23" spans="1:9" s="72" customFormat="1" ht="19.5" customHeight="1" x14ac:dyDescent="0.25">
      <c r="A23" s="27"/>
      <c r="E23" s="66"/>
      <c r="F23" s="18"/>
      <c r="G23" s="18"/>
      <c r="I23"/>
    </row>
    <row r="24" spans="1:9" s="72" customFormat="1" ht="19.5" customHeight="1" x14ac:dyDescent="0.25">
      <c r="A24" s="27"/>
      <c r="E24" s="66"/>
      <c r="F24" s="18"/>
      <c r="G24" s="18"/>
      <c r="I24"/>
    </row>
    <row r="25" spans="1:9" s="72" customFormat="1" ht="19.5" customHeight="1" x14ac:dyDescent="0.25">
      <c r="A25" s="27"/>
      <c r="E25" s="66"/>
      <c r="F25" s="18"/>
      <c r="G25" s="18"/>
      <c r="I25"/>
    </row>
    <row r="26" spans="1:9" s="72" customFormat="1" ht="19.5" customHeight="1" x14ac:dyDescent="0.25">
      <c r="A26" s="27"/>
      <c r="E26" s="66"/>
      <c r="F26" s="18"/>
      <c r="G26" s="18"/>
      <c r="I26"/>
    </row>
    <row r="27" spans="1:9" s="72" customFormat="1" ht="19.5" customHeight="1" x14ac:dyDescent="0.25">
      <c r="A27" s="27"/>
      <c r="E27" s="66"/>
      <c r="F27" s="18"/>
      <c r="G27" s="18"/>
      <c r="I27"/>
    </row>
    <row r="28" spans="1:9" s="72" customFormat="1" ht="19.5" customHeight="1" x14ac:dyDescent="0.25">
      <c r="A28" s="27"/>
      <c r="E28" s="66"/>
      <c r="F28" s="18"/>
      <c r="G28" s="18"/>
      <c r="I28"/>
    </row>
    <row r="29" spans="1:9" s="72" customFormat="1" ht="19.5" customHeight="1" x14ac:dyDescent="0.25">
      <c r="A29" s="27"/>
      <c r="E29" s="66"/>
      <c r="F29" s="18"/>
      <c r="G29" s="18"/>
      <c r="I29"/>
    </row>
    <row r="30" spans="1:9" s="72" customFormat="1" ht="19.5" customHeight="1" x14ac:dyDescent="0.25">
      <c r="A30" s="27"/>
      <c r="E30" s="66"/>
      <c r="F30" s="18"/>
      <c r="G30" s="18"/>
      <c r="I30"/>
    </row>
    <row r="31" spans="1:9" s="72" customFormat="1" ht="19.5" customHeight="1" x14ac:dyDescent="0.25">
      <c r="A31" s="27"/>
      <c r="E31" s="66"/>
      <c r="F31" s="18"/>
      <c r="G31" s="18"/>
      <c r="I31"/>
    </row>
    <row r="32" spans="1:9" s="72" customFormat="1" ht="19.5" customHeight="1" x14ac:dyDescent="0.25">
      <c r="A32" s="27"/>
      <c r="E32" s="66"/>
      <c r="F32" s="18"/>
      <c r="G32" s="18"/>
      <c r="I32"/>
    </row>
    <row r="33" spans="1:9" s="72" customFormat="1" ht="19.5" customHeight="1" x14ac:dyDescent="0.25">
      <c r="A33" s="27"/>
      <c r="E33" s="66"/>
      <c r="F33" s="18"/>
      <c r="G33" s="18"/>
      <c r="I33"/>
    </row>
    <row r="34" spans="1:9" s="72" customFormat="1" ht="19.5" customHeight="1" x14ac:dyDescent="0.25">
      <c r="A34" s="27"/>
      <c r="E34" s="66"/>
      <c r="F34" s="18"/>
      <c r="G34" s="18"/>
      <c r="I34"/>
    </row>
    <row r="35" spans="1:9" s="72" customFormat="1" ht="19.5" customHeight="1" x14ac:dyDescent="0.25">
      <c r="A35" s="27"/>
      <c r="E35" s="66"/>
      <c r="F35" s="18"/>
      <c r="G35" s="18"/>
      <c r="I35"/>
    </row>
    <row r="36" spans="1:9" s="72" customFormat="1" ht="19.5" customHeight="1" x14ac:dyDescent="0.25">
      <c r="A36" s="27"/>
      <c r="E36" s="66"/>
      <c r="F36" s="18"/>
      <c r="G36" s="18"/>
      <c r="I36"/>
    </row>
    <row r="37" spans="1:9" s="72" customFormat="1" ht="19.5" customHeight="1" x14ac:dyDescent="0.25">
      <c r="A37" s="27"/>
      <c r="E37" s="66"/>
      <c r="F37" s="18"/>
      <c r="G37" s="18"/>
      <c r="I37"/>
    </row>
    <row r="38" spans="1:9" s="72" customFormat="1" ht="19.5" customHeight="1" x14ac:dyDescent="0.25">
      <c r="A38" s="27"/>
      <c r="E38" s="66"/>
      <c r="F38" s="18"/>
      <c r="G38" s="18"/>
      <c r="I38"/>
    </row>
    <row r="39" spans="1:9" s="72" customFormat="1" ht="19.5" customHeight="1" x14ac:dyDescent="0.25">
      <c r="A39" s="27"/>
      <c r="E39" s="66"/>
      <c r="F39" s="18"/>
      <c r="G39" s="18"/>
      <c r="I39"/>
    </row>
    <row r="40" spans="1:9" s="72" customFormat="1" ht="19.5" customHeight="1" x14ac:dyDescent="0.25">
      <c r="A40" s="27"/>
      <c r="E40" s="66"/>
      <c r="F40" s="18"/>
      <c r="G40" s="18"/>
      <c r="I40"/>
    </row>
    <row r="41" spans="1:9" s="72" customFormat="1" ht="19.5" customHeight="1" x14ac:dyDescent="0.25">
      <c r="A41" s="27"/>
      <c r="E41" s="66"/>
      <c r="F41" s="18"/>
      <c r="G41" s="18"/>
      <c r="I41"/>
    </row>
    <row r="42" spans="1:9" s="72" customFormat="1" ht="19.5" customHeight="1" x14ac:dyDescent="0.25">
      <c r="A42" s="27"/>
      <c r="E42" s="66"/>
      <c r="F42" s="18"/>
      <c r="G42" s="18"/>
      <c r="I42"/>
    </row>
    <row r="43" spans="1:9" s="72" customFormat="1" ht="19.5" customHeight="1" x14ac:dyDescent="0.25">
      <c r="A43" s="27"/>
      <c r="E43" s="66"/>
      <c r="F43" s="18"/>
      <c r="G43" s="18"/>
      <c r="I43"/>
    </row>
    <row r="44" spans="1:9" s="72" customFormat="1" ht="19.5" customHeight="1" x14ac:dyDescent="0.25">
      <c r="A44" s="27"/>
      <c r="E44" s="66"/>
      <c r="F44" s="18"/>
      <c r="G44" s="18"/>
      <c r="I44"/>
    </row>
    <row r="45" spans="1:9" s="72" customFormat="1" ht="19.5" customHeight="1" x14ac:dyDescent="0.25">
      <c r="A45" s="27"/>
      <c r="E45" s="66"/>
      <c r="F45" s="18"/>
      <c r="G45" s="18"/>
      <c r="I45"/>
    </row>
    <row r="46" spans="1:9" s="72" customFormat="1" ht="19.5" customHeight="1" x14ac:dyDescent="0.25">
      <c r="A46" s="27"/>
      <c r="E46" s="66"/>
      <c r="F46" s="18"/>
      <c r="G46" s="18"/>
      <c r="I46"/>
    </row>
    <row r="47" spans="1:9" s="72" customFormat="1" ht="19.5" customHeight="1" x14ac:dyDescent="0.25">
      <c r="A47" s="27"/>
      <c r="E47" s="66"/>
      <c r="F47" s="18"/>
      <c r="G47" s="18"/>
      <c r="I47"/>
    </row>
    <row r="48" spans="1:9" s="72" customFormat="1" ht="19.5" customHeight="1" x14ac:dyDescent="0.25">
      <c r="A48" s="27"/>
      <c r="E48" s="66"/>
      <c r="F48" s="18"/>
      <c r="G48" s="18"/>
      <c r="I48"/>
    </row>
    <row r="49" spans="1:9" s="72" customFormat="1" ht="19.5" customHeight="1" x14ac:dyDescent="0.25">
      <c r="A49" s="27"/>
      <c r="E49" s="66"/>
      <c r="F49" s="18"/>
      <c r="G49" s="18"/>
      <c r="I49"/>
    </row>
    <row r="50" spans="1:9" s="72" customFormat="1" ht="19.5" customHeight="1" x14ac:dyDescent="0.25">
      <c r="A50" s="27"/>
      <c r="E50" s="66"/>
      <c r="F50" s="18"/>
      <c r="G50" s="18"/>
      <c r="I50"/>
    </row>
    <row r="51" spans="1:9" s="72" customFormat="1" ht="19.5" customHeight="1" x14ac:dyDescent="0.25">
      <c r="A51" s="27"/>
      <c r="E51" s="66"/>
      <c r="F51" s="18"/>
      <c r="G51" s="18"/>
      <c r="I51"/>
    </row>
    <row r="52" spans="1:9" s="72" customFormat="1" ht="19.5" customHeight="1" x14ac:dyDescent="0.25">
      <c r="A52" s="27"/>
      <c r="E52" s="66"/>
      <c r="F52" s="18"/>
      <c r="G52" s="18"/>
      <c r="I52"/>
    </row>
    <row r="53" spans="1:9" s="72" customFormat="1" ht="19.5" customHeight="1" x14ac:dyDescent="0.25">
      <c r="A53" s="27"/>
      <c r="E53" s="66"/>
      <c r="F53" s="18"/>
      <c r="G53" s="18"/>
      <c r="I53"/>
    </row>
    <row r="54" spans="1:9" s="72" customFormat="1" ht="19.5" customHeight="1" x14ac:dyDescent="0.25">
      <c r="A54" s="27"/>
      <c r="E54" s="66"/>
      <c r="F54" s="18"/>
      <c r="G54" s="18"/>
      <c r="I54"/>
    </row>
    <row r="55" spans="1:9" s="72" customFormat="1" ht="19.5" customHeight="1" x14ac:dyDescent="0.25">
      <c r="A55" s="27"/>
      <c r="E55" s="66"/>
      <c r="F55" s="18"/>
      <c r="G55" s="18"/>
      <c r="I55"/>
    </row>
    <row r="56" spans="1:9" s="72" customFormat="1" ht="19.5" customHeight="1" x14ac:dyDescent="0.25">
      <c r="A56" s="27"/>
      <c r="E56" s="66"/>
      <c r="F56" s="18"/>
      <c r="G56" s="18"/>
      <c r="I56"/>
    </row>
    <row r="57" spans="1:9" s="72" customFormat="1" ht="19.5" customHeight="1" x14ac:dyDescent="0.25">
      <c r="A57" s="27"/>
      <c r="E57" s="66"/>
      <c r="F57" s="18"/>
      <c r="G57" s="18"/>
      <c r="I57"/>
    </row>
    <row r="58" spans="1:9" s="72" customFormat="1" ht="19.5" customHeight="1" x14ac:dyDescent="0.25">
      <c r="A58" s="27"/>
      <c r="E58" s="66"/>
      <c r="F58" s="18"/>
      <c r="G58" s="18"/>
      <c r="I58"/>
    </row>
    <row r="59" spans="1:9" s="72" customFormat="1" ht="19.5" customHeight="1" x14ac:dyDescent="0.25">
      <c r="A59" s="27"/>
      <c r="E59" s="66"/>
      <c r="F59" s="18"/>
      <c r="G59" s="18"/>
      <c r="I59"/>
    </row>
    <row r="60" spans="1:9" s="72" customFormat="1" ht="19.5" customHeight="1" x14ac:dyDescent="0.25">
      <c r="A60" s="27"/>
      <c r="E60" s="66"/>
      <c r="F60" s="18"/>
      <c r="G60" s="18"/>
      <c r="I60"/>
    </row>
    <row r="61" spans="1:9" s="72" customFormat="1" ht="19.5" customHeight="1" x14ac:dyDescent="0.25">
      <c r="A61" s="27"/>
      <c r="E61" s="66"/>
      <c r="F61" s="18"/>
      <c r="G61" s="18"/>
      <c r="I61"/>
    </row>
  </sheetData>
  <mergeCells count="24">
    <mergeCell ref="A6:L6"/>
    <mergeCell ref="A1:L1"/>
    <mergeCell ref="A2:L2"/>
    <mergeCell ref="A3:L3"/>
    <mergeCell ref="A4:K4"/>
    <mergeCell ref="A5:K5"/>
    <mergeCell ref="A7:L7"/>
    <mergeCell ref="A8:A9"/>
    <mergeCell ref="B8:B9"/>
    <mergeCell ref="C8:C9"/>
    <mergeCell ref="D8:D9"/>
    <mergeCell ref="E8:E9"/>
    <mergeCell ref="F8:F9"/>
    <mergeCell ref="G8:J8"/>
    <mergeCell ref="K8:K9"/>
    <mergeCell ref="L8:L9"/>
    <mergeCell ref="B15:E15"/>
    <mergeCell ref="B16:E16"/>
    <mergeCell ref="A11:L11"/>
    <mergeCell ref="B12:C12"/>
    <mergeCell ref="G12:L12"/>
    <mergeCell ref="B13:C13"/>
    <mergeCell ref="G13:L13"/>
    <mergeCell ref="H14:L14"/>
  </mergeCells>
  <printOptions horizontalCentered="1"/>
  <pageMargins left="0.25" right="0.25" top="0.75" bottom="0.75" header="0.3" footer="0.3"/>
  <pageSetup paperSize="9"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32D55-5839-49C5-89C7-E461A8A22EBD}">
  <sheetPr>
    <tabColor rgb="FFFFC000"/>
  </sheetPr>
  <dimension ref="A1:L61"/>
  <sheetViews>
    <sheetView tabSelected="1" zoomScaleNormal="100" zoomScaleSheetLayoutView="145" workbookViewId="0">
      <selection activeCell="E12" sqref="E12"/>
    </sheetView>
  </sheetViews>
  <sheetFormatPr defaultRowHeight="15" x14ac:dyDescent="0.25"/>
  <cols>
    <col min="1" max="1" width="3.85546875" style="27" customWidth="1"/>
    <col min="2" max="2" width="10" style="60" customWidth="1"/>
    <col min="3" max="3" width="15.5703125" style="72" customWidth="1"/>
    <col min="4" max="4" width="6.7109375" style="72" customWidth="1"/>
    <col min="5" max="5" width="14.85546875" style="66" customWidth="1"/>
    <col min="6" max="6" width="6.7109375" style="72" customWidth="1"/>
    <col min="7" max="7" width="17.28515625" style="72" customWidth="1"/>
    <col min="8" max="8" width="14.85546875" style="72" customWidth="1"/>
    <col min="9" max="9" width="7.85546875" customWidth="1"/>
    <col min="10" max="10" width="7.85546875" style="72" customWidth="1"/>
    <col min="11" max="11" width="17.28515625" style="72" customWidth="1"/>
    <col min="12" max="12" width="16.28515625" style="72" customWidth="1"/>
  </cols>
  <sheetData>
    <row r="1" spans="1:12" ht="30" customHeight="1" x14ac:dyDescent="0.25">
      <c r="A1" s="113" t="s">
        <v>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</row>
    <row r="2" spans="1:12" ht="23.25" customHeight="1" x14ac:dyDescent="0.25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</row>
    <row r="3" spans="1:12" ht="21" customHeight="1" x14ac:dyDescent="0.25">
      <c r="A3" s="116">
        <v>3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</row>
    <row r="4" spans="1:12" ht="21" customHeight="1" x14ac:dyDescent="0.25">
      <c r="A4" s="117" t="s">
        <v>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6"/>
    </row>
    <row r="5" spans="1:12" ht="21" customHeight="1" x14ac:dyDescent="0.25">
      <c r="A5" s="117" t="s">
        <v>41</v>
      </c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6"/>
    </row>
    <row r="6" spans="1:12" ht="21" customHeight="1" x14ac:dyDescent="0.25">
      <c r="A6" s="109" t="s">
        <v>193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</row>
    <row r="7" spans="1:12" ht="21" customHeight="1" x14ac:dyDescent="0.25">
      <c r="A7" s="109" t="s">
        <v>176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</row>
    <row r="8" spans="1:12" ht="18" customHeight="1" x14ac:dyDescent="0.25">
      <c r="A8" s="110" t="s">
        <v>177</v>
      </c>
      <c r="B8" s="110" t="s">
        <v>8</v>
      </c>
      <c r="C8" s="110" t="s">
        <v>9</v>
      </c>
      <c r="D8" s="110" t="s">
        <v>10</v>
      </c>
      <c r="E8" s="111" t="s">
        <v>11</v>
      </c>
      <c r="F8" s="110" t="s">
        <v>178</v>
      </c>
      <c r="G8" s="112" t="s">
        <v>179</v>
      </c>
      <c r="H8" s="110"/>
      <c r="I8" s="110"/>
      <c r="J8" s="110"/>
      <c r="K8" s="110" t="s">
        <v>12</v>
      </c>
      <c r="L8" s="110" t="s">
        <v>15</v>
      </c>
    </row>
    <row r="9" spans="1:12" ht="25.9" customHeight="1" x14ac:dyDescent="0.25">
      <c r="A9" s="110"/>
      <c r="B9" s="110"/>
      <c r="C9" s="110"/>
      <c r="D9" s="110"/>
      <c r="E9" s="111"/>
      <c r="F9" s="110"/>
      <c r="G9" s="70" t="s">
        <v>180</v>
      </c>
      <c r="H9" s="71" t="s">
        <v>181</v>
      </c>
      <c r="I9" s="71" t="s">
        <v>7</v>
      </c>
      <c r="J9" s="71" t="s">
        <v>182</v>
      </c>
      <c r="K9" s="110"/>
      <c r="L9" s="110"/>
    </row>
    <row r="10" spans="1:12" ht="16.899999999999999" hidden="1" customHeight="1" x14ac:dyDescent="0.25">
      <c r="A10" s="62">
        <v>1</v>
      </c>
      <c r="B10" s="63" t="s">
        <v>183</v>
      </c>
      <c r="C10" s="63" t="s">
        <v>184</v>
      </c>
      <c r="D10" s="15" t="s">
        <v>23</v>
      </c>
      <c r="E10" s="92">
        <v>40134</v>
      </c>
      <c r="F10" s="67">
        <f ca="1">IF(E10 &lt;&gt; "",YEAR(NOW())-YEAR(E10), "")</f>
        <v>16</v>
      </c>
      <c r="G10" s="90" t="s">
        <v>185</v>
      </c>
      <c r="H10" s="91">
        <v>45852</v>
      </c>
      <c r="I10" s="62"/>
      <c r="J10" s="62"/>
      <c r="K10" s="63" t="s">
        <v>186</v>
      </c>
      <c r="L10" s="93"/>
    </row>
    <row r="11" spans="1:12" ht="23.45" customHeight="1" x14ac:dyDescent="0.25">
      <c r="A11" s="106"/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</row>
    <row r="12" spans="1:12" ht="24.75" customHeight="1" x14ac:dyDescent="0.25">
      <c r="A12" s="28"/>
      <c r="B12" s="107">
        <v>0</v>
      </c>
      <c r="C12" s="107"/>
      <c r="D12" s="57"/>
      <c r="E12" s="65"/>
      <c r="F12" s="57"/>
      <c r="G12" s="108" t="s">
        <v>187</v>
      </c>
      <c r="H12" s="108"/>
      <c r="I12" s="108"/>
      <c r="J12" s="108"/>
      <c r="K12" s="108"/>
      <c r="L12" s="108"/>
    </row>
    <row r="13" spans="1:12" ht="23.45" customHeight="1" x14ac:dyDescent="0.25">
      <c r="A13" s="26"/>
      <c r="B13" s="107">
        <v>0</v>
      </c>
      <c r="C13" s="107"/>
      <c r="G13" s="108" t="s">
        <v>188</v>
      </c>
      <c r="H13" s="108"/>
      <c r="I13" s="108"/>
      <c r="J13" s="108"/>
      <c r="K13" s="108"/>
      <c r="L13" s="108"/>
    </row>
    <row r="14" spans="1:12" ht="22.15" customHeight="1" x14ac:dyDescent="0.25">
      <c r="B14" s="72"/>
      <c r="H14" s="104" t="s">
        <v>189</v>
      </c>
      <c r="I14" s="104"/>
      <c r="J14" s="104"/>
      <c r="K14" s="104"/>
      <c r="L14" s="104"/>
    </row>
    <row r="15" spans="1:12" s="72" customFormat="1" ht="23.25" customHeight="1" x14ac:dyDescent="0.25">
      <c r="A15" s="28"/>
      <c r="B15" s="105" t="s">
        <v>190</v>
      </c>
      <c r="C15" s="105"/>
      <c r="D15" s="105"/>
      <c r="E15" s="105"/>
      <c r="I15"/>
    </row>
    <row r="16" spans="1:12" s="72" customFormat="1" ht="23.25" customHeight="1" x14ac:dyDescent="0.25">
      <c r="A16" s="28"/>
      <c r="B16" s="104" t="s">
        <v>191</v>
      </c>
      <c r="C16" s="104"/>
      <c r="D16" s="104"/>
      <c r="E16" s="104"/>
      <c r="F16" s="69"/>
      <c r="G16" s="69"/>
      <c r="H16" s="69"/>
      <c r="I16"/>
      <c r="J16" s="7"/>
      <c r="K16" s="73"/>
    </row>
    <row r="17" spans="1:9" s="72" customFormat="1" ht="21" customHeight="1" x14ac:dyDescent="0.25">
      <c r="A17" s="28"/>
      <c r="E17" s="66"/>
      <c r="F17" s="68"/>
      <c r="G17" s="68"/>
      <c r="H17" s="68"/>
      <c r="I17"/>
    </row>
    <row r="18" spans="1:9" s="72" customFormat="1" ht="19.5" customHeight="1" x14ac:dyDescent="0.25">
      <c r="A18" s="28"/>
      <c r="B18" s="7"/>
      <c r="E18" s="66"/>
      <c r="F18" s="18"/>
      <c r="G18" s="18"/>
      <c r="I18"/>
    </row>
    <row r="19" spans="1:9" s="72" customFormat="1" ht="19.5" customHeight="1" x14ac:dyDescent="0.25">
      <c r="A19" s="27"/>
      <c r="E19" s="66"/>
      <c r="F19" s="18"/>
      <c r="G19" s="18"/>
      <c r="I19"/>
    </row>
    <row r="20" spans="1:9" s="72" customFormat="1" ht="19.5" customHeight="1" x14ac:dyDescent="0.25">
      <c r="A20" s="27"/>
      <c r="E20" s="66"/>
      <c r="F20" s="18"/>
      <c r="G20" s="18"/>
      <c r="I20"/>
    </row>
    <row r="21" spans="1:9" s="72" customFormat="1" ht="19.5" customHeight="1" x14ac:dyDescent="0.25">
      <c r="A21" s="27"/>
      <c r="E21" s="66"/>
      <c r="F21" s="18"/>
      <c r="G21" s="18"/>
      <c r="I21"/>
    </row>
    <row r="22" spans="1:9" s="72" customFormat="1" ht="19.5" customHeight="1" x14ac:dyDescent="0.25">
      <c r="A22" s="27"/>
      <c r="E22" s="66"/>
      <c r="F22" s="18"/>
      <c r="G22" s="18"/>
      <c r="I22"/>
    </row>
    <row r="23" spans="1:9" s="72" customFormat="1" ht="19.5" customHeight="1" x14ac:dyDescent="0.25">
      <c r="A23" s="27"/>
      <c r="E23" s="66"/>
      <c r="F23" s="18"/>
      <c r="G23" s="18"/>
      <c r="I23"/>
    </row>
    <row r="24" spans="1:9" s="72" customFormat="1" ht="19.5" customHeight="1" x14ac:dyDescent="0.25">
      <c r="A24" s="27"/>
      <c r="E24" s="66"/>
      <c r="F24" s="18"/>
      <c r="G24" s="18"/>
      <c r="I24"/>
    </row>
    <row r="25" spans="1:9" s="72" customFormat="1" ht="19.5" customHeight="1" x14ac:dyDescent="0.25">
      <c r="A25" s="27"/>
      <c r="E25" s="66"/>
      <c r="F25" s="18"/>
      <c r="G25" s="18"/>
      <c r="I25"/>
    </row>
    <row r="26" spans="1:9" s="72" customFormat="1" ht="19.5" customHeight="1" x14ac:dyDescent="0.25">
      <c r="A26" s="27"/>
      <c r="E26" s="66"/>
      <c r="F26" s="18"/>
      <c r="G26" s="18"/>
      <c r="I26"/>
    </row>
    <row r="27" spans="1:9" s="72" customFormat="1" ht="19.5" customHeight="1" x14ac:dyDescent="0.25">
      <c r="A27" s="27"/>
      <c r="E27" s="66"/>
      <c r="F27" s="18"/>
      <c r="G27" s="18"/>
      <c r="I27"/>
    </row>
    <row r="28" spans="1:9" s="72" customFormat="1" ht="19.5" customHeight="1" x14ac:dyDescent="0.25">
      <c r="A28" s="27"/>
      <c r="E28" s="66"/>
      <c r="F28" s="18"/>
      <c r="G28" s="18"/>
      <c r="I28"/>
    </row>
    <row r="29" spans="1:9" s="72" customFormat="1" ht="19.5" customHeight="1" x14ac:dyDescent="0.25">
      <c r="A29" s="27"/>
      <c r="E29" s="66"/>
      <c r="F29" s="18"/>
      <c r="G29" s="18"/>
      <c r="I29"/>
    </row>
    <row r="30" spans="1:9" s="72" customFormat="1" ht="19.5" customHeight="1" x14ac:dyDescent="0.25">
      <c r="A30" s="27"/>
      <c r="E30" s="66"/>
      <c r="F30" s="18"/>
      <c r="G30" s="18"/>
      <c r="I30"/>
    </row>
    <row r="31" spans="1:9" s="72" customFormat="1" ht="19.5" customHeight="1" x14ac:dyDescent="0.25">
      <c r="A31" s="27"/>
      <c r="E31" s="66"/>
      <c r="F31" s="18"/>
      <c r="G31" s="18"/>
      <c r="I31"/>
    </row>
    <row r="32" spans="1:9" s="72" customFormat="1" ht="19.5" customHeight="1" x14ac:dyDescent="0.25">
      <c r="A32" s="27"/>
      <c r="E32" s="66"/>
      <c r="F32" s="18"/>
      <c r="G32" s="18"/>
      <c r="I32"/>
    </row>
    <row r="33" spans="1:9" s="72" customFormat="1" ht="19.5" customHeight="1" x14ac:dyDescent="0.25">
      <c r="A33" s="27"/>
      <c r="E33" s="66"/>
      <c r="F33" s="18"/>
      <c r="G33" s="18"/>
      <c r="I33"/>
    </row>
    <row r="34" spans="1:9" s="72" customFormat="1" ht="19.5" customHeight="1" x14ac:dyDescent="0.25">
      <c r="A34" s="27"/>
      <c r="E34" s="66"/>
      <c r="F34" s="18"/>
      <c r="G34" s="18"/>
      <c r="I34"/>
    </row>
    <row r="35" spans="1:9" s="72" customFormat="1" ht="19.5" customHeight="1" x14ac:dyDescent="0.25">
      <c r="A35" s="27"/>
      <c r="E35" s="66"/>
      <c r="F35" s="18"/>
      <c r="G35" s="18"/>
      <c r="I35"/>
    </row>
    <row r="36" spans="1:9" s="72" customFormat="1" ht="19.5" customHeight="1" x14ac:dyDescent="0.25">
      <c r="A36" s="27"/>
      <c r="E36" s="66"/>
      <c r="F36" s="18"/>
      <c r="G36" s="18"/>
      <c r="I36"/>
    </row>
    <row r="37" spans="1:9" s="72" customFormat="1" ht="19.5" customHeight="1" x14ac:dyDescent="0.25">
      <c r="A37" s="27"/>
      <c r="E37" s="66"/>
      <c r="F37" s="18"/>
      <c r="G37" s="18"/>
      <c r="I37"/>
    </row>
    <row r="38" spans="1:9" s="72" customFormat="1" ht="19.5" customHeight="1" x14ac:dyDescent="0.25">
      <c r="A38" s="27"/>
      <c r="E38" s="66"/>
      <c r="F38" s="18"/>
      <c r="G38" s="18"/>
      <c r="I38"/>
    </row>
    <row r="39" spans="1:9" s="72" customFormat="1" ht="19.5" customHeight="1" x14ac:dyDescent="0.25">
      <c r="A39" s="27"/>
      <c r="E39" s="66"/>
      <c r="F39" s="18"/>
      <c r="G39" s="18"/>
      <c r="I39"/>
    </row>
    <row r="40" spans="1:9" s="72" customFormat="1" ht="19.5" customHeight="1" x14ac:dyDescent="0.25">
      <c r="A40" s="27"/>
      <c r="E40" s="66"/>
      <c r="F40" s="18"/>
      <c r="G40" s="18"/>
      <c r="I40"/>
    </row>
    <row r="41" spans="1:9" s="72" customFormat="1" ht="19.5" customHeight="1" x14ac:dyDescent="0.25">
      <c r="A41" s="27"/>
      <c r="E41" s="66"/>
      <c r="F41" s="18"/>
      <c r="G41" s="18"/>
      <c r="I41"/>
    </row>
    <row r="42" spans="1:9" s="72" customFormat="1" ht="19.5" customHeight="1" x14ac:dyDescent="0.25">
      <c r="A42" s="27"/>
      <c r="E42" s="66"/>
      <c r="F42" s="18"/>
      <c r="G42" s="18"/>
      <c r="I42"/>
    </row>
    <row r="43" spans="1:9" s="72" customFormat="1" ht="19.5" customHeight="1" x14ac:dyDescent="0.25">
      <c r="A43" s="27"/>
      <c r="E43" s="66"/>
      <c r="F43" s="18"/>
      <c r="G43" s="18"/>
      <c r="I43"/>
    </row>
    <row r="44" spans="1:9" s="72" customFormat="1" ht="19.5" customHeight="1" x14ac:dyDescent="0.25">
      <c r="A44" s="27"/>
      <c r="E44" s="66"/>
      <c r="F44" s="18"/>
      <c r="G44" s="18"/>
      <c r="I44"/>
    </row>
    <row r="45" spans="1:9" s="72" customFormat="1" ht="19.5" customHeight="1" x14ac:dyDescent="0.25">
      <c r="A45" s="27"/>
      <c r="E45" s="66"/>
      <c r="F45" s="18"/>
      <c r="G45" s="18"/>
      <c r="I45"/>
    </row>
    <row r="46" spans="1:9" s="72" customFormat="1" ht="19.5" customHeight="1" x14ac:dyDescent="0.25">
      <c r="A46" s="27"/>
      <c r="E46" s="66"/>
      <c r="F46" s="18"/>
      <c r="G46" s="18"/>
      <c r="I46"/>
    </row>
    <row r="47" spans="1:9" s="72" customFormat="1" ht="19.5" customHeight="1" x14ac:dyDescent="0.25">
      <c r="A47" s="27"/>
      <c r="E47" s="66"/>
      <c r="F47" s="18"/>
      <c r="G47" s="18"/>
      <c r="I47"/>
    </row>
    <row r="48" spans="1:9" s="72" customFormat="1" ht="19.5" customHeight="1" x14ac:dyDescent="0.25">
      <c r="A48" s="27"/>
      <c r="E48" s="66"/>
      <c r="F48" s="18"/>
      <c r="G48" s="18"/>
      <c r="I48"/>
    </row>
    <row r="49" spans="1:9" s="72" customFormat="1" ht="19.5" customHeight="1" x14ac:dyDescent="0.25">
      <c r="A49" s="27"/>
      <c r="E49" s="66"/>
      <c r="F49" s="18"/>
      <c r="G49" s="18"/>
      <c r="I49"/>
    </row>
    <row r="50" spans="1:9" s="72" customFormat="1" ht="19.5" customHeight="1" x14ac:dyDescent="0.25">
      <c r="A50" s="27"/>
      <c r="E50" s="66"/>
      <c r="F50" s="18"/>
      <c r="G50" s="18"/>
      <c r="I50"/>
    </row>
    <row r="51" spans="1:9" s="72" customFormat="1" ht="19.5" customHeight="1" x14ac:dyDescent="0.25">
      <c r="A51" s="27"/>
      <c r="E51" s="66"/>
      <c r="F51" s="18"/>
      <c r="G51" s="18"/>
      <c r="I51"/>
    </row>
    <row r="52" spans="1:9" s="72" customFormat="1" ht="19.5" customHeight="1" x14ac:dyDescent="0.25">
      <c r="A52" s="27"/>
      <c r="E52" s="66"/>
      <c r="F52" s="18"/>
      <c r="G52" s="18"/>
      <c r="I52"/>
    </row>
    <row r="53" spans="1:9" s="72" customFormat="1" ht="19.5" customHeight="1" x14ac:dyDescent="0.25">
      <c r="A53" s="27"/>
      <c r="E53" s="66"/>
      <c r="F53" s="18"/>
      <c r="G53" s="18"/>
      <c r="I53"/>
    </row>
    <row r="54" spans="1:9" s="72" customFormat="1" ht="19.5" customHeight="1" x14ac:dyDescent="0.25">
      <c r="A54" s="27"/>
      <c r="E54" s="66"/>
      <c r="F54" s="18"/>
      <c r="G54" s="18"/>
      <c r="I54"/>
    </row>
    <row r="55" spans="1:9" s="72" customFormat="1" ht="19.5" customHeight="1" x14ac:dyDescent="0.25">
      <c r="A55" s="27"/>
      <c r="E55" s="66"/>
      <c r="F55" s="18"/>
      <c r="G55" s="18"/>
      <c r="I55"/>
    </row>
    <row r="56" spans="1:9" s="72" customFormat="1" ht="19.5" customHeight="1" x14ac:dyDescent="0.25">
      <c r="A56" s="27"/>
      <c r="E56" s="66"/>
      <c r="F56" s="18"/>
      <c r="G56" s="18"/>
      <c r="I56"/>
    </row>
    <row r="57" spans="1:9" s="72" customFormat="1" ht="19.5" customHeight="1" x14ac:dyDescent="0.25">
      <c r="A57" s="27"/>
      <c r="E57" s="66"/>
      <c r="F57" s="18"/>
      <c r="G57" s="18"/>
      <c r="I57"/>
    </row>
    <row r="58" spans="1:9" s="72" customFormat="1" ht="19.5" customHeight="1" x14ac:dyDescent="0.25">
      <c r="A58" s="27"/>
      <c r="E58" s="66"/>
      <c r="F58" s="18"/>
      <c r="G58" s="18"/>
      <c r="I58"/>
    </row>
    <row r="59" spans="1:9" s="72" customFormat="1" ht="19.5" customHeight="1" x14ac:dyDescent="0.25">
      <c r="A59" s="27"/>
      <c r="E59" s="66"/>
      <c r="F59" s="18"/>
      <c r="G59" s="18"/>
      <c r="I59"/>
    </row>
    <row r="60" spans="1:9" s="72" customFormat="1" ht="19.5" customHeight="1" x14ac:dyDescent="0.25">
      <c r="A60" s="27"/>
      <c r="E60" s="66"/>
      <c r="F60" s="18"/>
      <c r="G60" s="18"/>
      <c r="I60"/>
    </row>
    <row r="61" spans="1:9" s="72" customFormat="1" ht="19.5" customHeight="1" x14ac:dyDescent="0.25">
      <c r="A61" s="27"/>
      <c r="E61" s="66"/>
      <c r="F61" s="18"/>
      <c r="G61" s="18"/>
      <c r="I61"/>
    </row>
  </sheetData>
  <mergeCells count="24">
    <mergeCell ref="A6:L6"/>
    <mergeCell ref="A1:L1"/>
    <mergeCell ref="A2:L2"/>
    <mergeCell ref="A3:L3"/>
    <mergeCell ref="A4:K4"/>
    <mergeCell ref="A5:K5"/>
    <mergeCell ref="A7:L7"/>
    <mergeCell ref="A8:A9"/>
    <mergeCell ref="B8:B9"/>
    <mergeCell ref="C8:C9"/>
    <mergeCell ref="D8:D9"/>
    <mergeCell ref="E8:E9"/>
    <mergeCell ref="F8:F9"/>
    <mergeCell ref="G8:J8"/>
    <mergeCell ref="K8:K9"/>
    <mergeCell ref="L8:L9"/>
    <mergeCell ref="B15:E15"/>
    <mergeCell ref="B16:E16"/>
    <mergeCell ref="A11:L11"/>
    <mergeCell ref="B12:C12"/>
    <mergeCell ref="G12:L12"/>
    <mergeCell ref="B13:C13"/>
    <mergeCell ref="G13:L13"/>
    <mergeCell ref="H14:L14"/>
  </mergeCells>
  <printOptions horizontalCentered="1"/>
  <pageMargins left="0.25" right="0.25" top="0.75" bottom="0.75" header="0.3" footer="0.3"/>
  <pageSetup paperSize="9"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132A3-0CD4-49B4-B546-F8D903D52472}">
  <sheetPr codeName="Sheet4">
    <tabColor rgb="FFFF0000"/>
  </sheetPr>
  <dimension ref="A1:Q95"/>
  <sheetViews>
    <sheetView topLeftCell="A4" workbookViewId="0">
      <selection activeCell="K19" sqref="K19"/>
    </sheetView>
  </sheetViews>
  <sheetFormatPr defaultRowHeight="15" x14ac:dyDescent="0.25"/>
  <cols>
    <col min="1" max="1" width="4.42578125" customWidth="1"/>
    <col min="2" max="2" width="10.5703125" customWidth="1"/>
    <col min="3" max="3" width="8.42578125" customWidth="1"/>
    <col min="4" max="4" width="4.7109375" customWidth="1"/>
    <col min="5" max="5" width="15.42578125" customWidth="1"/>
    <col min="6" max="6" width="22.28515625" style="8" customWidth="1"/>
    <col min="7" max="7" width="11.28515625" style="8" customWidth="1"/>
    <col min="8" max="8" width="11.7109375" customWidth="1"/>
    <col min="9" max="9" width="10.28515625" customWidth="1"/>
    <col min="10" max="10" width="6.140625" customWidth="1"/>
    <col min="11" max="11" width="11.28515625" customWidth="1"/>
    <col min="12" max="12" width="10.140625" customWidth="1"/>
    <col min="13" max="13" width="16.140625" customWidth="1"/>
  </cols>
  <sheetData>
    <row r="1" spans="1:14" ht="30" customHeight="1" x14ac:dyDescent="0.65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</row>
    <row r="2" spans="1:14" ht="21" customHeight="1" x14ac:dyDescent="0.25">
      <c r="A2" s="95" t="s">
        <v>1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</row>
    <row r="3" spans="1:14" ht="16.149999999999999" customHeight="1" x14ac:dyDescent="0.25">
      <c r="A3" s="116">
        <v>3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</row>
    <row r="5" spans="1:14" ht="23.25" customHeight="1" x14ac:dyDescent="0.65">
      <c r="A5" s="103" t="s">
        <v>2</v>
      </c>
      <c r="B5" s="103"/>
      <c r="C5" s="103"/>
      <c r="D5" s="103"/>
      <c r="E5" s="103"/>
      <c r="F5" s="103"/>
      <c r="G5" s="31"/>
    </row>
    <row r="6" spans="1:14" ht="23.25" customHeight="1" x14ac:dyDescent="0.65">
      <c r="A6" s="103" t="s">
        <v>41</v>
      </c>
      <c r="B6" s="103"/>
      <c r="C6" s="103"/>
      <c r="D6" s="103"/>
      <c r="E6" s="103"/>
      <c r="F6" s="103"/>
      <c r="G6" s="31"/>
    </row>
    <row r="7" spans="1:14" ht="23.25" customHeight="1" x14ac:dyDescent="0.65">
      <c r="D7" s="1"/>
      <c r="E7" s="101" t="s">
        <v>194</v>
      </c>
      <c r="F7" s="101"/>
      <c r="G7" s="101"/>
      <c r="H7" s="101"/>
      <c r="I7" s="101"/>
      <c r="J7" s="2"/>
    </row>
    <row r="8" spans="1:14" ht="23.25" customHeight="1" x14ac:dyDescent="0.65">
      <c r="D8" s="1"/>
      <c r="E8" s="101" t="s">
        <v>6</v>
      </c>
      <c r="F8" s="101"/>
      <c r="G8" s="101"/>
      <c r="H8" s="101"/>
      <c r="I8" s="101"/>
      <c r="J8" s="2"/>
    </row>
    <row r="9" spans="1:14" ht="19.5" customHeight="1" x14ac:dyDescent="0.25">
      <c r="A9" s="16" t="s">
        <v>177</v>
      </c>
      <c r="B9" s="16" t="s">
        <v>8</v>
      </c>
      <c r="C9" s="16" t="s">
        <v>9</v>
      </c>
      <c r="D9" s="16" t="s">
        <v>10</v>
      </c>
      <c r="E9" s="17" t="s">
        <v>11</v>
      </c>
      <c r="F9" s="17" t="s">
        <v>12</v>
      </c>
      <c r="G9" s="17" t="s">
        <v>195</v>
      </c>
      <c r="H9" s="16" t="s">
        <v>196</v>
      </c>
      <c r="I9" s="16" t="s">
        <v>197</v>
      </c>
      <c r="J9" s="16" t="s">
        <v>198</v>
      </c>
      <c r="K9" s="16" t="s">
        <v>199</v>
      </c>
      <c r="L9" s="16" t="s">
        <v>200</v>
      </c>
      <c r="M9" s="16" t="s">
        <v>15</v>
      </c>
    </row>
    <row r="10" spans="1:14" s="77" customFormat="1" ht="19.5" customHeight="1" x14ac:dyDescent="0.25">
      <c r="A10" s="78">
        <f>IF(B10&lt;&gt;"",1,"")</f>
        <v>1</v>
      </c>
      <c r="B10" s="79" t="s">
        <v>65</v>
      </c>
      <c r="C10" s="79" t="s">
        <v>66</v>
      </c>
      <c r="D10" s="79" t="s">
        <v>23</v>
      </c>
      <c r="E10" s="80">
        <v>39724</v>
      </c>
      <c r="F10" s="81" t="s">
        <v>41</v>
      </c>
      <c r="G10" s="81" t="s">
        <v>20</v>
      </c>
      <c r="H10" s="82">
        <v>65</v>
      </c>
      <c r="I10" s="82">
        <v>40</v>
      </c>
      <c r="J10" s="82">
        <f t="shared" ref="J10:J41" si="0">IF(OR(H10&lt;&gt;"",I10&lt;&gt;""),SUM(H10:I10),"")</f>
        <v>105</v>
      </c>
      <c r="K10" s="82">
        <f t="shared" ref="K10:K41" si="1">IF(J10="","",RANK(J10,$J$10:$J$86))</f>
        <v>50</v>
      </c>
      <c r="L10" s="81" t="str">
        <f t="shared" ref="L10:L41" si="2">IF(K10="","",IF(J10&gt;=100,"ជាប់","ធ្លាក់"))</f>
        <v>ជាប់</v>
      </c>
      <c r="M10" s="83"/>
      <c r="N10"/>
    </row>
    <row r="11" spans="1:14" s="77" customFormat="1" ht="19.5" customHeight="1" x14ac:dyDescent="0.25">
      <c r="A11" s="78">
        <f t="shared" ref="A11:A42" ca="1" si="3">IF(B11="", "", INDIRECT("A" &amp; ROW(A10)) + 1)</f>
        <v>2</v>
      </c>
      <c r="B11" s="79" t="s">
        <v>34</v>
      </c>
      <c r="C11" s="79" t="s">
        <v>35</v>
      </c>
      <c r="D11" s="79" t="s">
        <v>18</v>
      </c>
      <c r="E11" s="80">
        <v>38779</v>
      </c>
      <c r="F11" s="81" t="s">
        <v>24</v>
      </c>
      <c r="G11" s="81" t="s">
        <v>20</v>
      </c>
      <c r="H11" s="82">
        <v>60</v>
      </c>
      <c r="I11" s="82">
        <v>68</v>
      </c>
      <c r="J11" s="82">
        <f t="shared" si="0"/>
        <v>128</v>
      </c>
      <c r="K11" s="82">
        <f t="shared" si="1"/>
        <v>12</v>
      </c>
      <c r="L11" s="81" t="str">
        <f t="shared" si="2"/>
        <v>ជាប់</v>
      </c>
      <c r="M11" s="83"/>
      <c r="N11"/>
    </row>
    <row r="12" spans="1:14" s="77" customFormat="1" ht="19.5" customHeight="1" x14ac:dyDescent="0.25">
      <c r="A12" s="78">
        <f t="shared" ca="1" si="3"/>
        <v>3</v>
      </c>
      <c r="B12" s="79" t="s">
        <v>34</v>
      </c>
      <c r="C12" s="79" t="s">
        <v>36</v>
      </c>
      <c r="D12" s="79" t="s">
        <v>18</v>
      </c>
      <c r="E12" s="80">
        <v>38779</v>
      </c>
      <c r="F12" s="81" t="s">
        <v>24</v>
      </c>
      <c r="G12" s="81" t="s">
        <v>20</v>
      </c>
      <c r="H12" s="82">
        <v>60</v>
      </c>
      <c r="I12" s="82">
        <v>70</v>
      </c>
      <c r="J12" s="82">
        <f t="shared" si="0"/>
        <v>130</v>
      </c>
      <c r="K12" s="82">
        <f t="shared" si="1"/>
        <v>8</v>
      </c>
      <c r="L12" s="81" t="str">
        <f t="shared" si="2"/>
        <v>ជាប់</v>
      </c>
      <c r="M12" s="83"/>
      <c r="N12"/>
    </row>
    <row r="13" spans="1:14" s="77" customFormat="1" ht="19.5" customHeight="1" x14ac:dyDescent="0.25">
      <c r="A13" s="78">
        <f t="shared" ca="1" si="3"/>
        <v>4</v>
      </c>
      <c r="B13" s="79" t="s">
        <v>81</v>
      </c>
      <c r="C13" s="79" t="s">
        <v>82</v>
      </c>
      <c r="D13" s="79" t="s">
        <v>18</v>
      </c>
      <c r="E13" s="80">
        <v>40338</v>
      </c>
      <c r="F13" s="81" t="s">
        <v>83</v>
      </c>
      <c r="G13" s="81" t="s">
        <v>20</v>
      </c>
      <c r="H13" s="82">
        <v>75</v>
      </c>
      <c r="I13" s="82">
        <v>0</v>
      </c>
      <c r="J13" s="82">
        <f t="shared" si="0"/>
        <v>75</v>
      </c>
      <c r="K13" s="82">
        <f t="shared" si="1"/>
        <v>74</v>
      </c>
      <c r="L13" s="81" t="str">
        <f t="shared" si="2"/>
        <v>ធ្លាក់</v>
      </c>
      <c r="M13" s="83"/>
      <c r="N13"/>
    </row>
    <row r="14" spans="1:14" s="77" customFormat="1" ht="19.5" customHeight="1" x14ac:dyDescent="0.25">
      <c r="A14" s="78">
        <f t="shared" ca="1" si="3"/>
        <v>5</v>
      </c>
      <c r="B14" s="79" t="s">
        <v>117</v>
      </c>
      <c r="C14" s="79" t="s">
        <v>118</v>
      </c>
      <c r="D14" s="79" t="s">
        <v>23</v>
      </c>
      <c r="E14" s="80">
        <v>39838</v>
      </c>
      <c r="F14" s="81" t="s">
        <v>119</v>
      </c>
      <c r="G14" s="81" t="s">
        <v>20</v>
      </c>
      <c r="H14" s="82">
        <v>65</v>
      </c>
      <c r="I14" s="82">
        <v>54</v>
      </c>
      <c r="J14" s="82">
        <f t="shared" si="0"/>
        <v>119</v>
      </c>
      <c r="K14" s="82">
        <f t="shared" si="1"/>
        <v>23</v>
      </c>
      <c r="L14" s="81" t="str">
        <f t="shared" si="2"/>
        <v>ជាប់</v>
      </c>
      <c r="M14" s="83"/>
      <c r="N14"/>
    </row>
    <row r="15" spans="1:14" s="77" customFormat="1" ht="19.5" customHeight="1" x14ac:dyDescent="0.25">
      <c r="A15" s="78">
        <f t="shared" ca="1" si="3"/>
        <v>6</v>
      </c>
      <c r="B15" s="79" t="s">
        <v>43</v>
      </c>
      <c r="C15" s="79" t="s">
        <v>44</v>
      </c>
      <c r="D15" s="79" t="s">
        <v>23</v>
      </c>
      <c r="E15" s="80">
        <v>39507</v>
      </c>
      <c r="F15" s="81" t="s">
        <v>41</v>
      </c>
      <c r="G15" s="81" t="s">
        <v>20</v>
      </c>
      <c r="H15" s="82">
        <v>70</v>
      </c>
      <c r="I15" s="82">
        <v>54</v>
      </c>
      <c r="J15" s="82">
        <f t="shared" si="0"/>
        <v>124</v>
      </c>
      <c r="K15" s="82">
        <f t="shared" si="1"/>
        <v>16</v>
      </c>
      <c r="L15" s="81" t="str">
        <f t="shared" si="2"/>
        <v>ជាប់</v>
      </c>
      <c r="M15" s="83" t="s">
        <v>42</v>
      </c>
      <c r="N15"/>
    </row>
    <row r="16" spans="1:14" s="77" customFormat="1" ht="19.5" customHeight="1" x14ac:dyDescent="0.25">
      <c r="A16" s="78">
        <f t="shared" ca="1" si="3"/>
        <v>7</v>
      </c>
      <c r="B16" s="79" t="s">
        <v>32</v>
      </c>
      <c r="C16" s="79" t="s">
        <v>33</v>
      </c>
      <c r="D16" s="79" t="s">
        <v>23</v>
      </c>
      <c r="E16" s="80">
        <v>40143</v>
      </c>
      <c r="F16" s="81" t="s">
        <v>24</v>
      </c>
      <c r="G16" s="81" t="s">
        <v>20</v>
      </c>
      <c r="H16" s="82">
        <v>75</v>
      </c>
      <c r="I16" s="82">
        <v>70</v>
      </c>
      <c r="J16" s="82">
        <f t="shared" si="0"/>
        <v>145</v>
      </c>
      <c r="K16" s="82">
        <f t="shared" si="1"/>
        <v>1</v>
      </c>
      <c r="L16" s="81" t="str">
        <f t="shared" si="2"/>
        <v>ជាប់</v>
      </c>
      <c r="M16" s="83"/>
      <c r="N16"/>
    </row>
    <row r="17" spans="1:14" s="77" customFormat="1" ht="19.5" customHeight="1" x14ac:dyDescent="0.25">
      <c r="A17" s="78">
        <f t="shared" ca="1" si="3"/>
        <v>8</v>
      </c>
      <c r="B17" s="79" t="s">
        <v>32</v>
      </c>
      <c r="C17" s="79" t="s">
        <v>85</v>
      </c>
      <c r="D17" s="79" t="s">
        <v>23</v>
      </c>
      <c r="E17" s="80">
        <v>39782</v>
      </c>
      <c r="F17" s="81" t="s">
        <v>41</v>
      </c>
      <c r="G17" s="81" t="s">
        <v>20</v>
      </c>
      <c r="H17" s="82">
        <v>70</v>
      </c>
      <c r="I17" s="82">
        <v>40</v>
      </c>
      <c r="J17" s="82">
        <f t="shared" si="0"/>
        <v>110</v>
      </c>
      <c r="K17" s="82">
        <f t="shared" si="1"/>
        <v>45</v>
      </c>
      <c r="L17" s="81" t="str">
        <f t="shared" si="2"/>
        <v>ជាប់</v>
      </c>
      <c r="M17" s="83"/>
      <c r="N17"/>
    </row>
    <row r="18" spans="1:14" s="77" customFormat="1" ht="19.5" customHeight="1" x14ac:dyDescent="0.25">
      <c r="A18" s="78">
        <f t="shared" ca="1" si="3"/>
        <v>9</v>
      </c>
      <c r="B18" s="79" t="s">
        <v>201</v>
      </c>
      <c r="C18" s="79" t="s">
        <v>202</v>
      </c>
      <c r="D18" s="79" t="s">
        <v>23</v>
      </c>
      <c r="E18" s="80">
        <v>39810</v>
      </c>
      <c r="F18" s="81" t="s">
        <v>203</v>
      </c>
      <c r="G18" s="81" t="s">
        <v>20</v>
      </c>
      <c r="H18" s="82">
        <v>65</v>
      </c>
      <c r="I18" s="82">
        <v>43</v>
      </c>
      <c r="J18" s="82">
        <f t="shared" si="0"/>
        <v>108</v>
      </c>
      <c r="K18" s="82">
        <f t="shared" si="1"/>
        <v>46</v>
      </c>
      <c r="L18" s="81" t="str">
        <f t="shared" si="2"/>
        <v>ជាប់</v>
      </c>
      <c r="M18" s="83" t="s">
        <v>204</v>
      </c>
      <c r="N18"/>
    </row>
    <row r="19" spans="1:14" s="77" customFormat="1" ht="19.5" customHeight="1" x14ac:dyDescent="0.25">
      <c r="A19" s="78">
        <f t="shared" ca="1" si="3"/>
        <v>10</v>
      </c>
      <c r="B19" s="79" t="s">
        <v>30</v>
      </c>
      <c r="C19" s="79" t="s">
        <v>31</v>
      </c>
      <c r="D19" s="79" t="s">
        <v>23</v>
      </c>
      <c r="E19" s="80">
        <v>40030</v>
      </c>
      <c r="F19" s="81" t="s">
        <v>24</v>
      </c>
      <c r="G19" s="81" t="s">
        <v>20</v>
      </c>
      <c r="H19" s="82">
        <v>60</v>
      </c>
      <c r="I19" s="82">
        <v>69</v>
      </c>
      <c r="J19" s="82">
        <f t="shared" si="0"/>
        <v>129</v>
      </c>
      <c r="K19" s="82">
        <f t="shared" si="1"/>
        <v>9</v>
      </c>
      <c r="L19" s="81" t="str">
        <f t="shared" si="2"/>
        <v>ជាប់</v>
      </c>
      <c r="M19" s="83"/>
      <c r="N19"/>
    </row>
    <row r="20" spans="1:14" s="77" customFormat="1" ht="19.5" customHeight="1" x14ac:dyDescent="0.25">
      <c r="A20" s="78">
        <f t="shared" ca="1" si="3"/>
        <v>11</v>
      </c>
      <c r="B20" s="79" t="s">
        <v>133</v>
      </c>
      <c r="C20" s="79" t="s">
        <v>134</v>
      </c>
      <c r="D20" s="79" t="s">
        <v>23</v>
      </c>
      <c r="E20" s="80">
        <v>39886</v>
      </c>
      <c r="F20" s="84" t="s">
        <v>41</v>
      </c>
      <c r="G20" s="84" t="s">
        <v>20</v>
      </c>
      <c r="H20" s="82">
        <v>65</v>
      </c>
      <c r="I20" s="82">
        <v>52</v>
      </c>
      <c r="J20" s="82">
        <f t="shared" si="0"/>
        <v>117</v>
      </c>
      <c r="K20" s="82">
        <f t="shared" si="1"/>
        <v>30</v>
      </c>
      <c r="L20" s="81" t="str">
        <f t="shared" si="2"/>
        <v>ជាប់</v>
      </c>
      <c r="M20" s="83"/>
      <c r="N20"/>
    </row>
    <row r="21" spans="1:14" s="77" customFormat="1" ht="19.5" customHeight="1" x14ac:dyDescent="0.25">
      <c r="A21" s="78">
        <f t="shared" ca="1" si="3"/>
        <v>12</v>
      </c>
      <c r="B21" s="79" t="s">
        <v>51</v>
      </c>
      <c r="C21" s="79" t="s">
        <v>52</v>
      </c>
      <c r="D21" s="79" t="s">
        <v>18</v>
      </c>
      <c r="E21" s="80">
        <v>39790</v>
      </c>
      <c r="F21" s="81" t="s">
        <v>53</v>
      </c>
      <c r="G21" s="81" t="s">
        <v>20</v>
      </c>
      <c r="H21" s="82">
        <v>65</v>
      </c>
      <c r="I21" s="82">
        <v>36</v>
      </c>
      <c r="J21" s="82">
        <f t="shared" si="0"/>
        <v>101</v>
      </c>
      <c r="K21" s="82">
        <f t="shared" si="1"/>
        <v>56</v>
      </c>
      <c r="L21" s="81" t="str">
        <f t="shared" si="2"/>
        <v>ជាប់</v>
      </c>
      <c r="M21" s="83"/>
      <c r="N21"/>
    </row>
    <row r="22" spans="1:14" s="77" customFormat="1" ht="19.5" customHeight="1" x14ac:dyDescent="0.25">
      <c r="A22" s="78">
        <f t="shared" ca="1" si="3"/>
        <v>13</v>
      </c>
      <c r="B22" s="79" t="s">
        <v>69</v>
      </c>
      <c r="C22" s="79" t="s">
        <v>70</v>
      </c>
      <c r="D22" s="79" t="s">
        <v>18</v>
      </c>
      <c r="E22" s="80">
        <v>39821</v>
      </c>
      <c r="F22" s="81" t="s">
        <v>41</v>
      </c>
      <c r="G22" s="81" t="s">
        <v>20</v>
      </c>
      <c r="H22" s="82">
        <v>60</v>
      </c>
      <c r="I22" s="82">
        <v>48</v>
      </c>
      <c r="J22" s="82">
        <f t="shared" si="0"/>
        <v>108</v>
      </c>
      <c r="K22" s="82">
        <f t="shared" si="1"/>
        <v>46</v>
      </c>
      <c r="L22" s="81" t="str">
        <f t="shared" si="2"/>
        <v>ជាប់</v>
      </c>
      <c r="M22" s="83"/>
      <c r="N22"/>
    </row>
    <row r="23" spans="1:14" s="77" customFormat="1" ht="19.5" customHeight="1" x14ac:dyDescent="0.25">
      <c r="A23" s="78">
        <f t="shared" ca="1" si="3"/>
        <v>14</v>
      </c>
      <c r="B23" s="79" t="s">
        <v>96</v>
      </c>
      <c r="C23" s="79" t="s">
        <v>97</v>
      </c>
      <c r="D23" s="79" t="s">
        <v>18</v>
      </c>
      <c r="E23" s="80">
        <v>39902</v>
      </c>
      <c r="F23" s="81" t="s">
        <v>41</v>
      </c>
      <c r="G23" s="81" t="s">
        <v>20</v>
      </c>
      <c r="H23" s="82">
        <v>55</v>
      </c>
      <c r="I23" s="82">
        <v>56</v>
      </c>
      <c r="J23" s="82">
        <f t="shared" si="0"/>
        <v>111</v>
      </c>
      <c r="K23" s="82">
        <f t="shared" si="1"/>
        <v>42</v>
      </c>
      <c r="L23" s="81" t="str">
        <f t="shared" si="2"/>
        <v>ជាប់</v>
      </c>
      <c r="M23" s="83"/>
      <c r="N23"/>
    </row>
    <row r="24" spans="1:14" s="77" customFormat="1" ht="19.5" customHeight="1" x14ac:dyDescent="0.25">
      <c r="A24" s="78">
        <f t="shared" ca="1" si="3"/>
        <v>15</v>
      </c>
      <c r="B24" s="79" t="s">
        <v>67</v>
      </c>
      <c r="C24" s="79" t="s">
        <v>68</v>
      </c>
      <c r="D24" s="79" t="s">
        <v>23</v>
      </c>
      <c r="E24" s="80">
        <v>39900</v>
      </c>
      <c r="F24" s="81" t="s">
        <v>24</v>
      </c>
      <c r="G24" s="81" t="s">
        <v>20</v>
      </c>
      <c r="H24" s="82">
        <v>65</v>
      </c>
      <c r="I24" s="82">
        <v>59</v>
      </c>
      <c r="J24" s="82">
        <f t="shared" si="0"/>
        <v>124</v>
      </c>
      <c r="K24" s="82">
        <f t="shared" si="1"/>
        <v>16</v>
      </c>
      <c r="L24" s="81" t="str">
        <f t="shared" si="2"/>
        <v>ជាប់</v>
      </c>
      <c r="M24" s="83"/>
      <c r="N24"/>
    </row>
    <row r="25" spans="1:14" s="77" customFormat="1" ht="19.5" customHeight="1" x14ac:dyDescent="0.25">
      <c r="A25" s="78">
        <f t="shared" ca="1" si="3"/>
        <v>16</v>
      </c>
      <c r="B25" s="79" t="s">
        <v>94</v>
      </c>
      <c r="C25" s="79" t="s">
        <v>95</v>
      </c>
      <c r="D25" s="79" t="s">
        <v>23</v>
      </c>
      <c r="E25" s="80">
        <v>39971</v>
      </c>
      <c r="F25" s="81" t="s">
        <v>41</v>
      </c>
      <c r="G25" s="81" t="s">
        <v>20</v>
      </c>
      <c r="H25" s="85">
        <v>70</v>
      </c>
      <c r="I25" s="82">
        <v>42</v>
      </c>
      <c r="J25" s="82">
        <f t="shared" si="0"/>
        <v>112</v>
      </c>
      <c r="K25" s="82">
        <f t="shared" si="1"/>
        <v>39</v>
      </c>
      <c r="L25" s="81" t="str">
        <f t="shared" si="2"/>
        <v>ជាប់</v>
      </c>
      <c r="M25" s="83"/>
      <c r="N25"/>
    </row>
    <row r="26" spans="1:14" s="77" customFormat="1" ht="19.5" customHeight="1" x14ac:dyDescent="0.25">
      <c r="A26" s="78">
        <f t="shared" ca="1" si="3"/>
        <v>17</v>
      </c>
      <c r="B26" s="79" t="s">
        <v>86</v>
      </c>
      <c r="C26" s="79" t="s">
        <v>87</v>
      </c>
      <c r="D26" s="79" t="s">
        <v>23</v>
      </c>
      <c r="E26" s="80">
        <v>38737</v>
      </c>
      <c r="F26" s="81" t="s">
        <v>41</v>
      </c>
      <c r="G26" s="81" t="s">
        <v>20</v>
      </c>
      <c r="H26" s="82">
        <v>60</v>
      </c>
      <c r="I26" s="82">
        <v>33</v>
      </c>
      <c r="J26" s="82">
        <f t="shared" si="0"/>
        <v>93</v>
      </c>
      <c r="K26" s="82">
        <f t="shared" si="1"/>
        <v>64</v>
      </c>
      <c r="L26" s="81" t="str">
        <f t="shared" si="2"/>
        <v>ធ្លាក់</v>
      </c>
      <c r="M26" s="83"/>
      <c r="N26"/>
    </row>
    <row r="27" spans="1:14" s="77" customFormat="1" ht="19.5" customHeight="1" x14ac:dyDescent="0.25">
      <c r="A27" s="78">
        <f t="shared" ca="1" si="3"/>
        <v>18</v>
      </c>
      <c r="B27" s="79" t="s">
        <v>88</v>
      </c>
      <c r="C27" s="79" t="s">
        <v>89</v>
      </c>
      <c r="D27" s="79" t="s">
        <v>23</v>
      </c>
      <c r="E27" s="80">
        <v>39561</v>
      </c>
      <c r="F27" s="81" t="s">
        <v>41</v>
      </c>
      <c r="G27" s="81" t="s">
        <v>20</v>
      </c>
      <c r="H27" s="86">
        <v>70</v>
      </c>
      <c r="I27" s="82">
        <v>44</v>
      </c>
      <c r="J27" s="82">
        <f t="shared" si="0"/>
        <v>114</v>
      </c>
      <c r="K27" s="82">
        <f t="shared" si="1"/>
        <v>35</v>
      </c>
      <c r="L27" s="81" t="str">
        <f t="shared" si="2"/>
        <v>ជាប់</v>
      </c>
      <c r="M27" s="83"/>
      <c r="N27"/>
    </row>
    <row r="28" spans="1:14" s="77" customFormat="1" ht="19.5" customHeight="1" x14ac:dyDescent="0.25">
      <c r="A28" s="78">
        <f t="shared" ca="1" si="3"/>
        <v>19</v>
      </c>
      <c r="B28" s="79" t="s">
        <v>174</v>
      </c>
      <c r="C28" s="79" t="s">
        <v>205</v>
      </c>
      <c r="D28" s="79" t="s">
        <v>23</v>
      </c>
      <c r="E28" s="80">
        <v>39550</v>
      </c>
      <c r="F28" s="81" t="s">
        <v>109</v>
      </c>
      <c r="G28" s="81" t="s">
        <v>20</v>
      </c>
      <c r="H28" s="82">
        <v>60</v>
      </c>
      <c r="I28" s="82">
        <v>29</v>
      </c>
      <c r="J28" s="82">
        <f t="shared" si="0"/>
        <v>89</v>
      </c>
      <c r="K28" s="82">
        <f t="shared" si="1"/>
        <v>70</v>
      </c>
      <c r="L28" s="81" t="str">
        <f t="shared" si="2"/>
        <v>ធ្លាក់</v>
      </c>
      <c r="M28" s="83"/>
      <c r="N28"/>
    </row>
    <row r="29" spans="1:14" s="77" customFormat="1" ht="19.5" customHeight="1" x14ac:dyDescent="0.25">
      <c r="A29" s="78">
        <f t="shared" ca="1" si="3"/>
        <v>20</v>
      </c>
      <c r="B29" s="79" t="s">
        <v>39</v>
      </c>
      <c r="C29" s="79" t="s">
        <v>40</v>
      </c>
      <c r="D29" s="79" t="s">
        <v>23</v>
      </c>
      <c r="E29" s="80">
        <v>39266</v>
      </c>
      <c r="F29" s="81" t="s">
        <v>41</v>
      </c>
      <c r="G29" s="81" t="s">
        <v>20</v>
      </c>
      <c r="H29" s="82">
        <v>70</v>
      </c>
      <c r="I29" s="82">
        <v>62</v>
      </c>
      <c r="J29" s="82">
        <f t="shared" si="0"/>
        <v>132</v>
      </c>
      <c r="K29" s="82">
        <f t="shared" si="1"/>
        <v>5</v>
      </c>
      <c r="L29" s="81" t="str">
        <f t="shared" si="2"/>
        <v>ជាប់</v>
      </c>
      <c r="M29" s="83" t="s">
        <v>42</v>
      </c>
      <c r="N29"/>
    </row>
    <row r="30" spans="1:14" s="77" customFormat="1" ht="19.5" customHeight="1" x14ac:dyDescent="0.25">
      <c r="A30" s="78">
        <f t="shared" ca="1" si="3"/>
        <v>21</v>
      </c>
      <c r="B30" s="81" t="s">
        <v>120</v>
      </c>
      <c r="C30" s="79" t="s">
        <v>206</v>
      </c>
      <c r="D30" s="79" t="s">
        <v>23</v>
      </c>
      <c r="E30" s="80">
        <v>39794</v>
      </c>
      <c r="F30" s="81" t="s">
        <v>207</v>
      </c>
      <c r="G30" s="81" t="s">
        <v>20</v>
      </c>
      <c r="H30" s="82">
        <v>75</v>
      </c>
      <c r="I30" s="82">
        <v>43</v>
      </c>
      <c r="J30" s="82">
        <f t="shared" si="0"/>
        <v>118</v>
      </c>
      <c r="K30" s="82">
        <f t="shared" si="1"/>
        <v>27</v>
      </c>
      <c r="L30" s="81" t="str">
        <f t="shared" si="2"/>
        <v>ជាប់</v>
      </c>
      <c r="M30" s="83" t="s">
        <v>204</v>
      </c>
      <c r="N30"/>
    </row>
    <row r="31" spans="1:14" s="77" customFormat="1" ht="19.5" customHeight="1" x14ac:dyDescent="0.25">
      <c r="A31" s="78">
        <f t="shared" ca="1" si="3"/>
        <v>22</v>
      </c>
      <c r="B31" s="79" t="s">
        <v>120</v>
      </c>
      <c r="C31" s="79" t="s">
        <v>121</v>
      </c>
      <c r="D31" s="79" t="s">
        <v>18</v>
      </c>
      <c r="E31" s="80">
        <v>39795</v>
      </c>
      <c r="F31" s="81" t="s">
        <v>122</v>
      </c>
      <c r="G31" s="81" t="s">
        <v>20</v>
      </c>
      <c r="H31" s="85">
        <v>55</v>
      </c>
      <c r="I31" s="82">
        <v>49</v>
      </c>
      <c r="J31" s="82">
        <f t="shared" si="0"/>
        <v>104</v>
      </c>
      <c r="K31" s="82">
        <f t="shared" si="1"/>
        <v>52</v>
      </c>
      <c r="L31" s="81" t="str">
        <f t="shared" si="2"/>
        <v>ជាប់</v>
      </c>
      <c r="M31" s="83"/>
      <c r="N31"/>
    </row>
    <row r="32" spans="1:14" s="77" customFormat="1" ht="19.5" customHeight="1" x14ac:dyDescent="0.25">
      <c r="A32" s="78">
        <f t="shared" ca="1" si="3"/>
        <v>23</v>
      </c>
      <c r="B32" s="79" t="s">
        <v>92</v>
      </c>
      <c r="C32" s="79" t="s">
        <v>93</v>
      </c>
      <c r="D32" s="79" t="s">
        <v>23</v>
      </c>
      <c r="E32" s="80">
        <v>39575</v>
      </c>
      <c r="F32" s="81" t="s">
        <v>24</v>
      </c>
      <c r="G32" s="87" t="s">
        <v>20</v>
      </c>
      <c r="H32" s="88">
        <v>65</v>
      </c>
      <c r="I32" s="82">
        <v>28</v>
      </c>
      <c r="J32" s="82">
        <f t="shared" si="0"/>
        <v>93</v>
      </c>
      <c r="K32" s="82">
        <f t="shared" si="1"/>
        <v>64</v>
      </c>
      <c r="L32" s="81" t="str">
        <f t="shared" si="2"/>
        <v>ធ្លាក់</v>
      </c>
      <c r="M32" s="83"/>
      <c r="N32"/>
    </row>
    <row r="33" spans="1:14" s="77" customFormat="1" ht="19.5" customHeight="1" x14ac:dyDescent="0.25">
      <c r="A33" s="78">
        <f t="shared" ca="1" si="3"/>
        <v>24</v>
      </c>
      <c r="B33" s="79" t="s">
        <v>37</v>
      </c>
      <c r="C33" s="79" t="s">
        <v>38</v>
      </c>
      <c r="D33" s="79" t="s">
        <v>18</v>
      </c>
      <c r="E33" s="80">
        <v>39027</v>
      </c>
      <c r="F33" s="81" t="s">
        <v>24</v>
      </c>
      <c r="G33" s="81" t="s">
        <v>20</v>
      </c>
      <c r="H33" s="82">
        <v>45</v>
      </c>
      <c r="I33" s="82">
        <v>66</v>
      </c>
      <c r="J33" s="82">
        <f t="shared" si="0"/>
        <v>111</v>
      </c>
      <c r="K33" s="82">
        <f t="shared" si="1"/>
        <v>42</v>
      </c>
      <c r="L33" s="81" t="str">
        <f t="shared" si="2"/>
        <v>ជាប់</v>
      </c>
      <c r="M33" s="83"/>
      <c r="N33"/>
    </row>
    <row r="34" spans="1:14" s="77" customFormat="1" ht="19.5" customHeight="1" x14ac:dyDescent="0.25">
      <c r="A34" s="78">
        <f t="shared" ca="1" si="3"/>
        <v>25</v>
      </c>
      <c r="B34" s="79" t="s">
        <v>126</v>
      </c>
      <c r="C34" s="79" t="s">
        <v>66</v>
      </c>
      <c r="D34" s="79" t="s">
        <v>18</v>
      </c>
      <c r="E34" s="80">
        <v>39719</v>
      </c>
      <c r="F34" s="84" t="s">
        <v>127</v>
      </c>
      <c r="G34" s="84" t="s">
        <v>20</v>
      </c>
      <c r="H34" s="82">
        <v>60</v>
      </c>
      <c r="I34" s="82">
        <v>53</v>
      </c>
      <c r="J34" s="82">
        <f t="shared" si="0"/>
        <v>113</v>
      </c>
      <c r="K34" s="82">
        <f t="shared" si="1"/>
        <v>38</v>
      </c>
      <c r="L34" s="81" t="str">
        <f t="shared" si="2"/>
        <v>ជាប់</v>
      </c>
      <c r="M34" s="83"/>
      <c r="N34"/>
    </row>
    <row r="35" spans="1:14" s="77" customFormat="1" ht="19.5" customHeight="1" x14ac:dyDescent="0.25">
      <c r="A35" s="78">
        <f t="shared" ca="1" si="3"/>
        <v>26</v>
      </c>
      <c r="B35" s="79" t="s">
        <v>45</v>
      </c>
      <c r="C35" s="79" t="s">
        <v>46</v>
      </c>
      <c r="D35" s="79" t="s">
        <v>18</v>
      </c>
      <c r="E35" s="80">
        <v>40102</v>
      </c>
      <c r="F35" s="81" t="s">
        <v>208</v>
      </c>
      <c r="G35" s="81" t="s">
        <v>20</v>
      </c>
      <c r="H35" s="82">
        <v>60</v>
      </c>
      <c r="I35" s="82">
        <v>31</v>
      </c>
      <c r="J35" s="82">
        <f t="shared" si="0"/>
        <v>91</v>
      </c>
      <c r="K35" s="82">
        <f t="shared" si="1"/>
        <v>66</v>
      </c>
      <c r="L35" s="81" t="str">
        <f t="shared" si="2"/>
        <v>ធ្លាក់</v>
      </c>
      <c r="M35" s="83" t="s">
        <v>42</v>
      </c>
      <c r="N35"/>
    </row>
    <row r="36" spans="1:14" s="77" customFormat="1" ht="19.5" customHeight="1" x14ac:dyDescent="0.25">
      <c r="A36" s="78">
        <f t="shared" ca="1" si="3"/>
        <v>27</v>
      </c>
      <c r="B36" s="79" t="s">
        <v>114</v>
      </c>
      <c r="C36" s="79" t="s">
        <v>115</v>
      </c>
      <c r="D36" s="79" t="s">
        <v>18</v>
      </c>
      <c r="E36" s="80">
        <v>38862</v>
      </c>
      <c r="F36" s="81" t="s">
        <v>116</v>
      </c>
      <c r="G36" s="81" t="s">
        <v>20</v>
      </c>
      <c r="H36" s="82">
        <v>65</v>
      </c>
      <c r="I36" s="82">
        <v>43</v>
      </c>
      <c r="J36" s="82">
        <f t="shared" si="0"/>
        <v>108</v>
      </c>
      <c r="K36" s="82">
        <f t="shared" si="1"/>
        <v>46</v>
      </c>
      <c r="L36" s="81" t="str">
        <f t="shared" si="2"/>
        <v>ជាប់</v>
      </c>
      <c r="M36" s="83"/>
      <c r="N36"/>
    </row>
    <row r="37" spans="1:14" s="77" customFormat="1" ht="19.5" customHeight="1" x14ac:dyDescent="0.25">
      <c r="A37" s="78">
        <f t="shared" ca="1" si="3"/>
        <v>28</v>
      </c>
      <c r="B37" s="79" t="s">
        <v>98</v>
      </c>
      <c r="C37" s="79" t="s">
        <v>99</v>
      </c>
      <c r="D37" s="79" t="s">
        <v>18</v>
      </c>
      <c r="E37" s="80">
        <v>40437</v>
      </c>
      <c r="F37" s="81" t="s">
        <v>100</v>
      </c>
      <c r="G37" s="81" t="s">
        <v>20</v>
      </c>
      <c r="H37" s="82">
        <v>70</v>
      </c>
      <c r="I37" s="82">
        <v>45</v>
      </c>
      <c r="J37" s="82">
        <f t="shared" si="0"/>
        <v>115</v>
      </c>
      <c r="K37" s="82">
        <f t="shared" si="1"/>
        <v>34</v>
      </c>
      <c r="L37" s="81" t="str">
        <f t="shared" si="2"/>
        <v>ជាប់</v>
      </c>
      <c r="M37" s="83" t="s">
        <v>204</v>
      </c>
      <c r="N37"/>
    </row>
    <row r="38" spans="1:14" s="77" customFormat="1" ht="19.5" customHeight="1" x14ac:dyDescent="0.25">
      <c r="A38" s="19">
        <f t="shared" ca="1" si="3"/>
        <v>29</v>
      </c>
      <c r="B38" s="52" t="s">
        <v>75</v>
      </c>
      <c r="C38" s="52" t="s">
        <v>76</v>
      </c>
      <c r="D38" s="52" t="s">
        <v>23</v>
      </c>
      <c r="E38" s="53">
        <v>39121</v>
      </c>
      <c r="F38" s="54" t="s">
        <v>41</v>
      </c>
      <c r="G38" s="54" t="s">
        <v>20</v>
      </c>
      <c r="H38" s="55">
        <v>50</v>
      </c>
      <c r="I38" s="55">
        <v>39</v>
      </c>
      <c r="J38" s="55">
        <f t="shared" si="0"/>
        <v>89</v>
      </c>
      <c r="K38" s="55">
        <f t="shared" si="1"/>
        <v>70</v>
      </c>
      <c r="L38" s="54" t="str">
        <f t="shared" si="2"/>
        <v>ធ្លាក់</v>
      </c>
      <c r="M38" s="56"/>
    </row>
    <row r="39" spans="1:14" ht="19.5" customHeight="1" x14ac:dyDescent="0.25">
      <c r="A39" s="19">
        <f t="shared" ca="1" si="3"/>
        <v>30</v>
      </c>
      <c r="B39" s="52" t="s">
        <v>110</v>
      </c>
      <c r="C39" s="52" t="s">
        <v>111</v>
      </c>
      <c r="D39" s="52" t="s">
        <v>18</v>
      </c>
      <c r="E39" s="53">
        <v>39099</v>
      </c>
      <c r="F39" s="54" t="s">
        <v>109</v>
      </c>
      <c r="G39" s="54" t="s">
        <v>20</v>
      </c>
      <c r="H39" s="55">
        <v>60</v>
      </c>
      <c r="I39" s="55">
        <v>35</v>
      </c>
      <c r="J39" s="55">
        <f t="shared" si="0"/>
        <v>95</v>
      </c>
      <c r="K39" s="55">
        <f t="shared" si="1"/>
        <v>63</v>
      </c>
      <c r="L39" s="54" t="str">
        <f t="shared" si="2"/>
        <v>ធ្លាក់</v>
      </c>
      <c r="M39" s="56"/>
    </row>
    <row r="40" spans="1:14" ht="19.5" customHeight="1" x14ac:dyDescent="0.25">
      <c r="A40" s="19">
        <f t="shared" ca="1" si="3"/>
        <v>31</v>
      </c>
      <c r="B40" s="20" t="s">
        <v>48</v>
      </c>
      <c r="C40" s="20" t="s">
        <v>49</v>
      </c>
      <c r="D40" s="20" t="s">
        <v>23</v>
      </c>
      <c r="E40" s="21">
        <v>40044</v>
      </c>
      <c r="F40" s="22" t="s">
        <v>50</v>
      </c>
      <c r="G40" s="22" t="s">
        <v>20</v>
      </c>
      <c r="H40" s="23">
        <v>60</v>
      </c>
      <c r="I40" s="23">
        <v>31</v>
      </c>
      <c r="J40" s="23">
        <f t="shared" si="0"/>
        <v>91</v>
      </c>
      <c r="K40" s="23">
        <f t="shared" si="1"/>
        <v>66</v>
      </c>
      <c r="L40" s="22" t="str">
        <f t="shared" si="2"/>
        <v>ធ្លាក់</v>
      </c>
      <c r="M40" s="14"/>
    </row>
    <row r="41" spans="1:14" ht="19.5" customHeight="1" x14ac:dyDescent="0.25">
      <c r="A41" s="19">
        <f t="shared" ca="1" si="3"/>
        <v>32</v>
      </c>
      <c r="B41" s="20" t="s">
        <v>71</v>
      </c>
      <c r="C41" s="20" t="s">
        <v>72</v>
      </c>
      <c r="D41" s="20" t="s">
        <v>18</v>
      </c>
      <c r="E41" s="21">
        <v>40022</v>
      </c>
      <c r="F41" s="22" t="s">
        <v>41</v>
      </c>
      <c r="G41" s="22" t="s">
        <v>20</v>
      </c>
      <c r="H41" s="23">
        <v>70</v>
      </c>
      <c r="I41" s="23">
        <v>41</v>
      </c>
      <c r="J41" s="23">
        <f t="shared" si="0"/>
        <v>111</v>
      </c>
      <c r="K41" s="23">
        <f t="shared" si="1"/>
        <v>42</v>
      </c>
      <c r="L41" s="22" t="str">
        <f t="shared" si="2"/>
        <v>ជាប់</v>
      </c>
      <c r="M41" s="14"/>
    </row>
    <row r="42" spans="1:14" ht="19.5" customHeight="1" x14ac:dyDescent="0.25">
      <c r="A42" s="19">
        <f t="shared" ca="1" si="3"/>
        <v>33</v>
      </c>
      <c r="B42" s="20" t="s">
        <v>59</v>
      </c>
      <c r="C42" s="20" t="s">
        <v>60</v>
      </c>
      <c r="D42" s="20" t="s">
        <v>23</v>
      </c>
      <c r="E42" s="21">
        <v>40169</v>
      </c>
      <c r="F42" s="22" t="s">
        <v>61</v>
      </c>
      <c r="G42" s="22" t="s">
        <v>20</v>
      </c>
      <c r="H42" s="23">
        <v>70</v>
      </c>
      <c r="I42" s="23">
        <v>47</v>
      </c>
      <c r="J42" s="23">
        <f t="shared" ref="J42:J73" si="4">IF(OR(H42&lt;&gt;"",I42&lt;&gt;""),SUM(H42:I42),"")</f>
        <v>117</v>
      </c>
      <c r="K42" s="23">
        <f t="shared" ref="K42:K73" si="5">IF(J42="","",RANK(J42,$J$10:$J$86))</f>
        <v>30</v>
      </c>
      <c r="L42" s="22" t="str">
        <f t="shared" ref="L42:L73" si="6">IF(K42="","",IF(J42&gt;=100,"ជាប់","ធ្លាក់"))</f>
        <v>ជាប់</v>
      </c>
      <c r="M42" s="14"/>
    </row>
    <row r="43" spans="1:14" ht="19.5" customHeight="1" x14ac:dyDescent="0.25">
      <c r="A43" s="19">
        <f t="shared" ref="A43:A74" ca="1" si="7">IF(B43="", "", INDIRECT("A" &amp; ROW(A42)) + 1)</f>
        <v>34</v>
      </c>
      <c r="B43" s="20" t="s">
        <v>21</v>
      </c>
      <c r="C43" s="20" t="s">
        <v>22</v>
      </c>
      <c r="D43" s="20" t="s">
        <v>23</v>
      </c>
      <c r="E43" s="21">
        <v>39803</v>
      </c>
      <c r="F43" s="22" t="s">
        <v>24</v>
      </c>
      <c r="G43" s="22" t="s">
        <v>20</v>
      </c>
      <c r="H43" s="23">
        <v>65</v>
      </c>
      <c r="I43" s="23">
        <v>67</v>
      </c>
      <c r="J43" s="23">
        <f t="shared" si="4"/>
        <v>132</v>
      </c>
      <c r="K43" s="23">
        <f t="shared" si="5"/>
        <v>5</v>
      </c>
      <c r="L43" s="22" t="str">
        <f t="shared" si="6"/>
        <v>ជាប់</v>
      </c>
      <c r="M43" s="14"/>
    </row>
    <row r="44" spans="1:14" ht="19.5" customHeight="1" x14ac:dyDescent="0.25">
      <c r="A44" s="19">
        <f t="shared" ca="1" si="7"/>
        <v>35</v>
      </c>
      <c r="B44" s="52" t="s">
        <v>79</v>
      </c>
      <c r="C44" s="52" t="s">
        <v>80</v>
      </c>
      <c r="D44" s="52" t="s">
        <v>18</v>
      </c>
      <c r="E44" s="53">
        <v>38985</v>
      </c>
      <c r="F44" s="54" t="s">
        <v>24</v>
      </c>
      <c r="G44" s="54" t="s">
        <v>20</v>
      </c>
      <c r="H44" s="55">
        <v>60</v>
      </c>
      <c r="I44" s="55">
        <v>30</v>
      </c>
      <c r="J44" s="55">
        <f t="shared" si="4"/>
        <v>90</v>
      </c>
      <c r="K44" s="55">
        <f t="shared" si="5"/>
        <v>68</v>
      </c>
      <c r="L44" s="54" t="str">
        <f t="shared" si="6"/>
        <v>ធ្លាក់</v>
      </c>
      <c r="M44" s="56"/>
    </row>
    <row r="45" spans="1:14" ht="19.5" customHeight="1" x14ac:dyDescent="0.25">
      <c r="A45" s="19">
        <f t="shared" ca="1" si="7"/>
        <v>36</v>
      </c>
      <c r="B45" s="52" t="s">
        <v>209</v>
      </c>
      <c r="C45" s="52" t="s">
        <v>210</v>
      </c>
      <c r="D45" s="52" t="s">
        <v>23</v>
      </c>
      <c r="E45" s="53">
        <v>39970</v>
      </c>
      <c r="F45" s="54" t="s">
        <v>207</v>
      </c>
      <c r="G45" s="54" t="s">
        <v>20</v>
      </c>
      <c r="H45" s="55">
        <v>80</v>
      </c>
      <c r="I45" s="55">
        <v>40</v>
      </c>
      <c r="J45" s="55">
        <f t="shared" si="4"/>
        <v>120</v>
      </c>
      <c r="K45" s="55">
        <f t="shared" si="5"/>
        <v>21</v>
      </c>
      <c r="L45" s="54" t="str">
        <f t="shared" si="6"/>
        <v>ជាប់</v>
      </c>
      <c r="M45" s="56" t="s">
        <v>204</v>
      </c>
    </row>
    <row r="46" spans="1:14" ht="19.5" customHeight="1" x14ac:dyDescent="0.25">
      <c r="A46" s="19">
        <f t="shared" ca="1" si="7"/>
        <v>37</v>
      </c>
      <c r="B46" s="20" t="s">
        <v>25</v>
      </c>
      <c r="C46" s="20" t="s">
        <v>26</v>
      </c>
      <c r="D46" s="20" t="s">
        <v>18</v>
      </c>
      <c r="E46" s="21">
        <v>40071</v>
      </c>
      <c r="F46" s="22" t="s">
        <v>211</v>
      </c>
      <c r="G46" s="22" t="s">
        <v>20</v>
      </c>
      <c r="H46" s="23">
        <v>40</v>
      </c>
      <c r="I46" s="23">
        <v>28</v>
      </c>
      <c r="J46" s="23">
        <f t="shared" si="4"/>
        <v>68</v>
      </c>
      <c r="K46" s="23">
        <f t="shared" si="5"/>
        <v>76</v>
      </c>
      <c r="L46" s="22" t="str">
        <f t="shared" si="6"/>
        <v>ធ្លាក់</v>
      </c>
      <c r="M46" s="14"/>
    </row>
    <row r="47" spans="1:14" ht="19.5" customHeight="1" x14ac:dyDescent="0.25">
      <c r="A47" s="19">
        <f t="shared" ca="1" si="7"/>
        <v>38</v>
      </c>
      <c r="B47" s="20" t="s">
        <v>16</v>
      </c>
      <c r="C47" s="20" t="s">
        <v>17</v>
      </c>
      <c r="D47" s="20" t="s">
        <v>18</v>
      </c>
      <c r="E47" s="21">
        <v>39271</v>
      </c>
      <c r="F47" s="22" t="s">
        <v>19</v>
      </c>
      <c r="G47" s="22" t="s">
        <v>20</v>
      </c>
      <c r="H47" s="23">
        <v>55</v>
      </c>
      <c r="I47" s="23">
        <v>51</v>
      </c>
      <c r="J47" s="23">
        <f t="shared" si="4"/>
        <v>106</v>
      </c>
      <c r="K47" s="23">
        <f t="shared" si="5"/>
        <v>49</v>
      </c>
      <c r="L47" s="22" t="str">
        <f t="shared" si="6"/>
        <v>ជាប់</v>
      </c>
      <c r="M47" s="14"/>
    </row>
    <row r="48" spans="1:14" ht="19.5" customHeight="1" x14ac:dyDescent="0.25">
      <c r="A48" s="19">
        <f t="shared" ca="1" si="7"/>
        <v>39</v>
      </c>
      <c r="B48" s="20" t="s">
        <v>131</v>
      </c>
      <c r="C48" s="20" t="s">
        <v>132</v>
      </c>
      <c r="D48" s="20" t="s">
        <v>23</v>
      </c>
      <c r="E48" s="21">
        <v>40503</v>
      </c>
      <c r="F48" s="42" t="s">
        <v>130</v>
      </c>
      <c r="G48" s="42" t="s">
        <v>20</v>
      </c>
      <c r="H48" s="23">
        <v>70</v>
      </c>
      <c r="I48" s="23">
        <v>28</v>
      </c>
      <c r="J48" s="23">
        <f t="shared" si="4"/>
        <v>98</v>
      </c>
      <c r="K48" s="23">
        <f t="shared" si="5"/>
        <v>62</v>
      </c>
      <c r="L48" s="22" t="str">
        <f t="shared" si="6"/>
        <v>ធ្លាក់</v>
      </c>
      <c r="M48" s="14"/>
    </row>
    <row r="49" spans="1:13" ht="19.5" customHeight="1" x14ac:dyDescent="0.25">
      <c r="A49" s="19">
        <f t="shared" ca="1" si="7"/>
        <v>40</v>
      </c>
      <c r="B49" s="52" t="s">
        <v>77</v>
      </c>
      <c r="C49" s="52" t="s">
        <v>78</v>
      </c>
      <c r="D49" s="52" t="s">
        <v>18</v>
      </c>
      <c r="E49" s="53">
        <v>39685</v>
      </c>
      <c r="F49" s="54" t="s">
        <v>41</v>
      </c>
      <c r="G49" s="54" t="s">
        <v>20</v>
      </c>
      <c r="H49" s="55">
        <v>55</v>
      </c>
      <c r="I49" s="55">
        <v>50</v>
      </c>
      <c r="J49" s="55">
        <f t="shared" si="4"/>
        <v>105</v>
      </c>
      <c r="K49" s="55">
        <f t="shared" si="5"/>
        <v>50</v>
      </c>
      <c r="L49" s="54" t="str">
        <f t="shared" si="6"/>
        <v>ជាប់</v>
      </c>
      <c r="M49" s="56" t="s">
        <v>42</v>
      </c>
    </row>
    <row r="50" spans="1:13" ht="19.5" customHeight="1" x14ac:dyDescent="0.25">
      <c r="A50" s="19">
        <f t="shared" ca="1" si="7"/>
        <v>41</v>
      </c>
      <c r="B50" s="52" t="s">
        <v>90</v>
      </c>
      <c r="C50" s="52" t="s">
        <v>91</v>
      </c>
      <c r="D50" s="52" t="s">
        <v>23</v>
      </c>
      <c r="E50" s="53">
        <v>39430</v>
      </c>
      <c r="F50" s="54" t="s">
        <v>41</v>
      </c>
      <c r="G50" s="54" t="s">
        <v>20</v>
      </c>
      <c r="H50" s="55">
        <v>60</v>
      </c>
      <c r="I50" s="55">
        <v>40</v>
      </c>
      <c r="J50" s="55">
        <f t="shared" si="4"/>
        <v>100</v>
      </c>
      <c r="K50" s="55">
        <f t="shared" si="5"/>
        <v>58</v>
      </c>
      <c r="L50" s="54" t="str">
        <f t="shared" si="6"/>
        <v>ជាប់</v>
      </c>
      <c r="M50" s="56"/>
    </row>
    <row r="51" spans="1:13" ht="19.5" customHeight="1" x14ac:dyDescent="0.25">
      <c r="A51" s="19">
        <f t="shared" ca="1" si="7"/>
        <v>42</v>
      </c>
      <c r="B51" s="20" t="s">
        <v>112</v>
      </c>
      <c r="C51" s="20" t="s">
        <v>113</v>
      </c>
      <c r="D51" s="20" t="s">
        <v>18</v>
      </c>
      <c r="E51" s="21">
        <v>39574</v>
      </c>
      <c r="F51" s="22" t="s">
        <v>109</v>
      </c>
      <c r="G51" s="22" t="s">
        <v>20</v>
      </c>
      <c r="H51" s="23">
        <v>65</v>
      </c>
      <c r="I51" s="23">
        <v>36</v>
      </c>
      <c r="J51" s="23">
        <f t="shared" si="4"/>
        <v>101</v>
      </c>
      <c r="K51" s="23">
        <f t="shared" si="5"/>
        <v>56</v>
      </c>
      <c r="L51" s="22" t="str">
        <f t="shared" si="6"/>
        <v>ជាប់</v>
      </c>
      <c r="M51" s="14"/>
    </row>
    <row r="52" spans="1:13" ht="19.5" customHeight="1" x14ac:dyDescent="0.25">
      <c r="A52" s="19">
        <f t="shared" ca="1" si="7"/>
        <v>43</v>
      </c>
      <c r="B52" s="20" t="s">
        <v>107</v>
      </c>
      <c r="C52" s="20" t="s">
        <v>108</v>
      </c>
      <c r="D52" s="20" t="s">
        <v>18</v>
      </c>
      <c r="E52" s="21">
        <v>39208</v>
      </c>
      <c r="F52" s="22" t="s">
        <v>109</v>
      </c>
      <c r="G52" s="22" t="s">
        <v>20</v>
      </c>
      <c r="H52" s="23">
        <v>65</v>
      </c>
      <c r="I52" s="23">
        <v>37</v>
      </c>
      <c r="J52" s="23">
        <f t="shared" si="4"/>
        <v>102</v>
      </c>
      <c r="K52" s="23">
        <f t="shared" si="5"/>
        <v>54</v>
      </c>
      <c r="L52" s="22" t="str">
        <f t="shared" si="6"/>
        <v>ជាប់</v>
      </c>
      <c r="M52" s="14"/>
    </row>
    <row r="53" spans="1:13" ht="19.5" customHeight="1" x14ac:dyDescent="0.25">
      <c r="A53" s="19">
        <f t="shared" ca="1" si="7"/>
        <v>44</v>
      </c>
      <c r="B53" s="52" t="s">
        <v>212</v>
      </c>
      <c r="C53" s="52" t="s">
        <v>213</v>
      </c>
      <c r="D53" s="52" t="s">
        <v>23</v>
      </c>
      <c r="E53" s="53">
        <v>39587</v>
      </c>
      <c r="F53" s="54" t="s">
        <v>203</v>
      </c>
      <c r="G53" s="54" t="s">
        <v>20</v>
      </c>
      <c r="H53" s="55">
        <v>65</v>
      </c>
      <c r="I53" s="55">
        <v>49</v>
      </c>
      <c r="J53" s="55">
        <f t="shared" si="4"/>
        <v>114</v>
      </c>
      <c r="K53" s="55">
        <f t="shared" si="5"/>
        <v>35</v>
      </c>
      <c r="L53" s="54" t="str">
        <f t="shared" si="6"/>
        <v>ជាប់</v>
      </c>
      <c r="M53" s="56" t="s">
        <v>204</v>
      </c>
    </row>
    <row r="54" spans="1:13" ht="19.5" customHeight="1" x14ac:dyDescent="0.25">
      <c r="A54" s="19">
        <f t="shared" ca="1" si="7"/>
        <v>45</v>
      </c>
      <c r="B54" s="20" t="s">
        <v>165</v>
      </c>
      <c r="C54" s="20" t="s">
        <v>166</v>
      </c>
      <c r="D54" s="20" t="s">
        <v>23</v>
      </c>
      <c r="E54" s="21" t="s">
        <v>214</v>
      </c>
      <c r="F54" s="22" t="s">
        <v>109</v>
      </c>
      <c r="G54" s="22" t="s">
        <v>20</v>
      </c>
      <c r="H54" s="23">
        <v>65</v>
      </c>
      <c r="I54" s="23">
        <v>25</v>
      </c>
      <c r="J54" s="23">
        <f t="shared" si="4"/>
        <v>90</v>
      </c>
      <c r="K54" s="23">
        <f t="shared" si="5"/>
        <v>68</v>
      </c>
      <c r="L54" s="22" t="str">
        <f t="shared" si="6"/>
        <v>ធ្លាក់</v>
      </c>
      <c r="M54" s="14"/>
    </row>
    <row r="55" spans="1:13" ht="19.5" customHeight="1" x14ac:dyDescent="0.25">
      <c r="A55" s="19">
        <f t="shared" ca="1" si="7"/>
        <v>46</v>
      </c>
      <c r="B55" s="52" t="s">
        <v>215</v>
      </c>
      <c r="C55" s="52" t="s">
        <v>216</v>
      </c>
      <c r="D55" s="52" t="s">
        <v>23</v>
      </c>
      <c r="E55" s="53">
        <v>38781</v>
      </c>
      <c r="F55" s="54" t="s">
        <v>217</v>
      </c>
      <c r="G55" s="54" t="s">
        <v>20</v>
      </c>
      <c r="H55" s="55">
        <v>80</v>
      </c>
      <c r="I55" s="55">
        <v>38</v>
      </c>
      <c r="J55" s="55">
        <f t="shared" si="4"/>
        <v>118</v>
      </c>
      <c r="K55" s="55">
        <f t="shared" si="5"/>
        <v>27</v>
      </c>
      <c r="L55" s="54" t="str">
        <f t="shared" si="6"/>
        <v>ជាប់</v>
      </c>
      <c r="M55" s="56" t="s">
        <v>204</v>
      </c>
    </row>
    <row r="56" spans="1:13" ht="19.5" customHeight="1" x14ac:dyDescent="0.25">
      <c r="A56" s="19">
        <f t="shared" ca="1" si="7"/>
        <v>47</v>
      </c>
      <c r="B56" s="52" t="s">
        <v>62</v>
      </c>
      <c r="C56" s="52" t="s">
        <v>218</v>
      </c>
      <c r="D56" s="52" t="s">
        <v>18</v>
      </c>
      <c r="E56" s="53">
        <v>39492</v>
      </c>
      <c r="F56" s="54" t="s">
        <v>64</v>
      </c>
      <c r="G56" s="54" t="s">
        <v>20</v>
      </c>
      <c r="H56" s="55">
        <v>71</v>
      </c>
      <c r="I56" s="55">
        <v>29</v>
      </c>
      <c r="J56" s="55">
        <f t="shared" si="4"/>
        <v>100</v>
      </c>
      <c r="K56" s="55">
        <f t="shared" si="5"/>
        <v>58</v>
      </c>
      <c r="L56" s="54" t="str">
        <f t="shared" si="6"/>
        <v>ជាប់</v>
      </c>
      <c r="M56" s="56" t="s">
        <v>204</v>
      </c>
    </row>
    <row r="57" spans="1:13" ht="19.5" customHeight="1" x14ac:dyDescent="0.25">
      <c r="A57" s="19">
        <f t="shared" ca="1" si="7"/>
        <v>48</v>
      </c>
      <c r="B57" s="20" t="s">
        <v>135</v>
      </c>
      <c r="C57" s="20" t="s">
        <v>136</v>
      </c>
      <c r="D57" s="20" t="s">
        <v>18</v>
      </c>
      <c r="E57" s="21">
        <v>39248</v>
      </c>
      <c r="F57" s="22" t="s">
        <v>24</v>
      </c>
      <c r="G57" s="22" t="s">
        <v>20</v>
      </c>
      <c r="H57" s="23">
        <v>65</v>
      </c>
      <c r="I57" s="23">
        <v>54</v>
      </c>
      <c r="J57" s="23">
        <f t="shared" si="4"/>
        <v>119</v>
      </c>
      <c r="K57" s="23">
        <f t="shared" si="5"/>
        <v>23</v>
      </c>
      <c r="L57" s="22" t="str">
        <f t="shared" si="6"/>
        <v>ជាប់</v>
      </c>
      <c r="M57" s="14"/>
    </row>
    <row r="58" spans="1:13" ht="19.5" customHeight="1" x14ac:dyDescent="0.25">
      <c r="A58" s="19">
        <f t="shared" ca="1" si="7"/>
        <v>49</v>
      </c>
      <c r="B58" s="20" t="s">
        <v>54</v>
      </c>
      <c r="C58" s="20" t="s">
        <v>55</v>
      </c>
      <c r="D58" s="20" t="s">
        <v>23</v>
      </c>
      <c r="E58" s="21">
        <v>39278</v>
      </c>
      <c r="F58" s="22" t="s">
        <v>41</v>
      </c>
      <c r="G58" s="22" t="s">
        <v>20</v>
      </c>
      <c r="H58" s="23">
        <v>70</v>
      </c>
      <c r="I58" s="23">
        <v>44</v>
      </c>
      <c r="J58" s="23">
        <f t="shared" si="4"/>
        <v>114</v>
      </c>
      <c r="K58" s="23">
        <f t="shared" si="5"/>
        <v>35</v>
      </c>
      <c r="L58" s="22" t="str">
        <f t="shared" si="6"/>
        <v>ជាប់</v>
      </c>
      <c r="M58" s="14" t="s">
        <v>42</v>
      </c>
    </row>
    <row r="59" spans="1:13" ht="19.5" customHeight="1" x14ac:dyDescent="0.25">
      <c r="A59" s="19">
        <f t="shared" ca="1" si="7"/>
        <v>50</v>
      </c>
      <c r="B59" s="20" t="s">
        <v>28</v>
      </c>
      <c r="C59" s="20" t="s">
        <v>29</v>
      </c>
      <c r="D59" s="20" t="s">
        <v>23</v>
      </c>
      <c r="E59" s="21">
        <v>39908</v>
      </c>
      <c r="F59" s="22" t="s">
        <v>211</v>
      </c>
      <c r="G59" s="22" t="s">
        <v>20</v>
      </c>
      <c r="H59" s="23">
        <v>60</v>
      </c>
      <c r="I59" s="23">
        <v>42</v>
      </c>
      <c r="J59" s="23">
        <f t="shared" si="4"/>
        <v>102</v>
      </c>
      <c r="K59" s="23">
        <f t="shared" si="5"/>
        <v>54</v>
      </c>
      <c r="L59" s="22" t="str">
        <f t="shared" si="6"/>
        <v>ជាប់</v>
      </c>
      <c r="M59" s="14"/>
    </row>
    <row r="60" spans="1:13" ht="19.5" customHeight="1" x14ac:dyDescent="0.25">
      <c r="A60" s="19">
        <f t="shared" ca="1" si="7"/>
        <v>51</v>
      </c>
      <c r="B60" s="20" t="s">
        <v>73</v>
      </c>
      <c r="C60" s="20" t="s">
        <v>74</v>
      </c>
      <c r="D60" s="20" t="s">
        <v>18</v>
      </c>
      <c r="E60" s="21">
        <v>40058</v>
      </c>
      <c r="F60" s="22" t="s">
        <v>41</v>
      </c>
      <c r="G60" s="22" t="s">
        <v>20</v>
      </c>
      <c r="H60" s="23">
        <v>70</v>
      </c>
      <c r="I60" s="23">
        <v>52</v>
      </c>
      <c r="J60" s="23">
        <f t="shared" si="4"/>
        <v>122</v>
      </c>
      <c r="K60" s="23">
        <f t="shared" si="5"/>
        <v>18</v>
      </c>
      <c r="L60" s="22" t="str">
        <f t="shared" si="6"/>
        <v>ជាប់</v>
      </c>
      <c r="M60" s="14"/>
    </row>
    <row r="61" spans="1:13" ht="19.5" customHeight="1" x14ac:dyDescent="0.25">
      <c r="A61" s="19">
        <f t="shared" ca="1" si="7"/>
        <v>52</v>
      </c>
      <c r="B61" s="20" t="s">
        <v>137</v>
      </c>
      <c r="C61" s="20" t="s">
        <v>138</v>
      </c>
      <c r="D61" s="20" t="s">
        <v>18</v>
      </c>
      <c r="E61" s="21">
        <v>39458</v>
      </c>
      <c r="F61" s="22" t="s">
        <v>24</v>
      </c>
      <c r="G61" s="22" t="s">
        <v>20</v>
      </c>
      <c r="H61" s="23">
        <v>65</v>
      </c>
      <c r="I61" s="23">
        <v>47</v>
      </c>
      <c r="J61" s="23">
        <f t="shared" si="4"/>
        <v>112</v>
      </c>
      <c r="K61" s="23">
        <f t="shared" si="5"/>
        <v>39</v>
      </c>
      <c r="L61" s="22" t="str">
        <f t="shared" si="6"/>
        <v>ជាប់</v>
      </c>
      <c r="M61" s="14"/>
    </row>
    <row r="62" spans="1:13" ht="19.5" customHeight="1" x14ac:dyDescent="0.25">
      <c r="A62" s="19">
        <f t="shared" ca="1" si="7"/>
        <v>53</v>
      </c>
      <c r="B62" s="52" t="s">
        <v>101</v>
      </c>
      <c r="C62" s="52" t="s">
        <v>102</v>
      </c>
      <c r="D62" s="52" t="s">
        <v>18</v>
      </c>
      <c r="E62" s="53">
        <v>39876</v>
      </c>
      <c r="F62" s="54" t="s">
        <v>103</v>
      </c>
      <c r="G62" s="54" t="s">
        <v>20</v>
      </c>
      <c r="H62" s="55">
        <v>60</v>
      </c>
      <c r="I62" s="55">
        <v>59</v>
      </c>
      <c r="J62" s="55">
        <f t="shared" si="4"/>
        <v>119</v>
      </c>
      <c r="K62" s="55">
        <f t="shared" si="5"/>
        <v>23</v>
      </c>
      <c r="L62" s="54" t="str">
        <f t="shared" si="6"/>
        <v>ជាប់</v>
      </c>
      <c r="M62" s="56"/>
    </row>
    <row r="63" spans="1:13" ht="19.5" customHeight="1" x14ac:dyDescent="0.25">
      <c r="A63" s="19">
        <f t="shared" ca="1" si="7"/>
        <v>54</v>
      </c>
      <c r="B63" s="52" t="s">
        <v>219</v>
      </c>
      <c r="C63" s="52" t="s">
        <v>220</v>
      </c>
      <c r="D63" s="52" t="s">
        <v>23</v>
      </c>
      <c r="E63" s="53">
        <v>40037</v>
      </c>
      <c r="F63" s="54" t="s">
        <v>203</v>
      </c>
      <c r="G63" s="54" t="s">
        <v>20</v>
      </c>
      <c r="H63" s="55">
        <v>75</v>
      </c>
      <c r="I63" s="55">
        <v>45</v>
      </c>
      <c r="J63" s="55">
        <f t="shared" si="4"/>
        <v>120</v>
      </c>
      <c r="K63" s="55">
        <f t="shared" si="5"/>
        <v>21</v>
      </c>
      <c r="L63" s="54" t="str">
        <f t="shared" si="6"/>
        <v>ជាប់</v>
      </c>
      <c r="M63" s="56" t="s">
        <v>204</v>
      </c>
    </row>
    <row r="64" spans="1:13" ht="19.5" customHeight="1" x14ac:dyDescent="0.25">
      <c r="A64" s="19">
        <f t="shared" ca="1" si="7"/>
        <v>55</v>
      </c>
      <c r="B64" s="20" t="s">
        <v>123</v>
      </c>
      <c r="C64" s="20" t="s">
        <v>124</v>
      </c>
      <c r="D64" s="20" t="s">
        <v>18</v>
      </c>
      <c r="E64" s="21">
        <v>39751</v>
      </c>
      <c r="F64" s="42" t="s">
        <v>125</v>
      </c>
      <c r="G64" s="42" t="s">
        <v>20</v>
      </c>
      <c r="H64" s="23">
        <v>45</v>
      </c>
      <c r="I64" s="23">
        <v>40</v>
      </c>
      <c r="J64" s="23">
        <f t="shared" si="4"/>
        <v>85</v>
      </c>
      <c r="K64" s="23">
        <f t="shared" si="5"/>
        <v>73</v>
      </c>
      <c r="L64" s="22" t="str">
        <f t="shared" si="6"/>
        <v>ធ្លាក់</v>
      </c>
      <c r="M64" s="14"/>
    </row>
    <row r="65" spans="1:13" ht="19.5" customHeight="1" x14ac:dyDescent="0.25">
      <c r="A65" s="19">
        <f t="shared" ca="1" si="7"/>
        <v>56</v>
      </c>
      <c r="B65" s="20" t="s">
        <v>128</v>
      </c>
      <c r="C65" s="20" t="s">
        <v>129</v>
      </c>
      <c r="D65" s="20" t="s">
        <v>18</v>
      </c>
      <c r="E65" s="21">
        <v>40246</v>
      </c>
      <c r="F65" s="42" t="s">
        <v>130</v>
      </c>
      <c r="G65" s="42" t="s">
        <v>20</v>
      </c>
      <c r="H65" s="23">
        <v>60</v>
      </c>
      <c r="I65" s="23">
        <v>28</v>
      </c>
      <c r="J65" s="23">
        <f t="shared" si="4"/>
        <v>88</v>
      </c>
      <c r="K65" s="23">
        <f t="shared" si="5"/>
        <v>72</v>
      </c>
      <c r="L65" s="22" t="str">
        <f t="shared" si="6"/>
        <v>ធ្លាក់</v>
      </c>
      <c r="M65" s="14"/>
    </row>
    <row r="66" spans="1:13" ht="19.5" customHeight="1" x14ac:dyDescent="0.25">
      <c r="A66" s="19">
        <f t="shared" ca="1" si="7"/>
        <v>57</v>
      </c>
      <c r="B66" s="20" t="s">
        <v>162</v>
      </c>
      <c r="C66" s="20" t="s">
        <v>82</v>
      </c>
      <c r="D66" s="20" t="s">
        <v>18</v>
      </c>
      <c r="E66" s="21">
        <v>38445</v>
      </c>
      <c r="F66" s="22" t="s">
        <v>41</v>
      </c>
      <c r="G66" s="22" t="s">
        <v>221</v>
      </c>
      <c r="H66" s="23">
        <v>90</v>
      </c>
      <c r="I66" s="23">
        <v>43</v>
      </c>
      <c r="J66" s="23">
        <f t="shared" si="4"/>
        <v>133</v>
      </c>
      <c r="K66" s="23">
        <f t="shared" si="5"/>
        <v>3</v>
      </c>
      <c r="L66" s="22" t="str">
        <f t="shared" si="6"/>
        <v>ជាប់</v>
      </c>
      <c r="M66" s="14" t="s">
        <v>42</v>
      </c>
    </row>
    <row r="67" spans="1:13" ht="19.5" customHeight="1" x14ac:dyDescent="0.25">
      <c r="A67" s="19">
        <f t="shared" ca="1" si="7"/>
        <v>58</v>
      </c>
      <c r="B67" s="20" t="s">
        <v>163</v>
      </c>
      <c r="C67" s="20" t="s">
        <v>164</v>
      </c>
      <c r="D67" s="20" t="s">
        <v>18</v>
      </c>
      <c r="E67" s="21">
        <v>39714</v>
      </c>
      <c r="F67" s="22" t="s">
        <v>41</v>
      </c>
      <c r="G67" s="22" t="s">
        <v>221</v>
      </c>
      <c r="H67" s="23">
        <v>90</v>
      </c>
      <c r="I67" s="23">
        <v>53</v>
      </c>
      <c r="J67" s="23">
        <f t="shared" si="4"/>
        <v>143</v>
      </c>
      <c r="K67" s="23">
        <f t="shared" si="5"/>
        <v>2</v>
      </c>
      <c r="L67" s="22" t="str">
        <f t="shared" si="6"/>
        <v>ជាប់</v>
      </c>
      <c r="M67" s="14" t="s">
        <v>42</v>
      </c>
    </row>
    <row r="68" spans="1:13" ht="19.5" customHeight="1" x14ac:dyDescent="0.25">
      <c r="A68" s="19">
        <f t="shared" ca="1" si="7"/>
        <v>59</v>
      </c>
      <c r="B68" s="20" t="s">
        <v>16</v>
      </c>
      <c r="C68" s="20" t="s">
        <v>173</v>
      </c>
      <c r="D68" s="20" t="s">
        <v>18</v>
      </c>
      <c r="E68" s="21">
        <v>40165</v>
      </c>
      <c r="F68" s="22" t="s">
        <v>19</v>
      </c>
      <c r="G68" s="22" t="s">
        <v>221</v>
      </c>
      <c r="H68" s="23">
        <v>70</v>
      </c>
      <c r="I68" s="23">
        <v>55</v>
      </c>
      <c r="J68" s="23">
        <f t="shared" si="4"/>
        <v>125</v>
      </c>
      <c r="K68" s="23">
        <f t="shared" si="5"/>
        <v>14</v>
      </c>
      <c r="L68" s="22" t="str">
        <f t="shared" si="6"/>
        <v>ជាប់</v>
      </c>
      <c r="M68" s="14"/>
    </row>
    <row r="69" spans="1:13" ht="19.5" customHeight="1" x14ac:dyDescent="0.25">
      <c r="A69" s="19">
        <f t="shared" ca="1" si="7"/>
        <v>60</v>
      </c>
      <c r="B69" s="20" t="s">
        <v>56</v>
      </c>
      <c r="C69" s="20" t="s">
        <v>57</v>
      </c>
      <c r="D69" s="20" t="s">
        <v>23</v>
      </c>
      <c r="E69" s="21">
        <v>39650</v>
      </c>
      <c r="F69" s="22" t="s">
        <v>41</v>
      </c>
      <c r="G69" s="22" t="s">
        <v>221</v>
      </c>
      <c r="H69" s="23">
        <v>70</v>
      </c>
      <c r="I69" s="23">
        <v>52</v>
      </c>
      <c r="J69" s="23">
        <f t="shared" si="4"/>
        <v>122</v>
      </c>
      <c r="K69" s="23">
        <f t="shared" si="5"/>
        <v>18</v>
      </c>
      <c r="L69" s="22" t="str">
        <f t="shared" si="6"/>
        <v>ជាប់</v>
      </c>
      <c r="M69" s="14" t="s">
        <v>42</v>
      </c>
    </row>
    <row r="70" spans="1:13" ht="19.5" customHeight="1" x14ac:dyDescent="0.25">
      <c r="A70" s="19">
        <f t="shared" ca="1" si="7"/>
        <v>61</v>
      </c>
      <c r="B70" s="20" t="s">
        <v>160</v>
      </c>
      <c r="C70" s="20" t="s">
        <v>161</v>
      </c>
      <c r="D70" s="20" t="s">
        <v>18</v>
      </c>
      <c r="E70" s="21">
        <v>38841</v>
      </c>
      <c r="F70" s="22" t="s">
        <v>41</v>
      </c>
      <c r="G70" s="22" t="s">
        <v>221</v>
      </c>
      <c r="H70" s="23">
        <v>75</v>
      </c>
      <c r="I70" s="23">
        <v>50</v>
      </c>
      <c r="J70" s="23">
        <f t="shared" si="4"/>
        <v>125</v>
      </c>
      <c r="K70" s="23">
        <f t="shared" si="5"/>
        <v>14</v>
      </c>
      <c r="L70" s="22" t="str">
        <f t="shared" si="6"/>
        <v>ជាប់</v>
      </c>
      <c r="M70" s="14" t="s">
        <v>42</v>
      </c>
    </row>
    <row r="71" spans="1:13" ht="19.5" customHeight="1" x14ac:dyDescent="0.25">
      <c r="A71" s="19">
        <f t="shared" ca="1" si="7"/>
        <v>62</v>
      </c>
      <c r="B71" s="20" t="s">
        <v>167</v>
      </c>
      <c r="C71" s="20" t="s">
        <v>222</v>
      </c>
      <c r="D71" s="20" t="s">
        <v>18</v>
      </c>
      <c r="E71" s="21">
        <v>39248</v>
      </c>
      <c r="F71" s="22" t="s">
        <v>169</v>
      </c>
      <c r="G71" s="22" t="s">
        <v>141</v>
      </c>
      <c r="H71" s="23">
        <v>65</v>
      </c>
      <c r="I71" s="23">
        <v>8</v>
      </c>
      <c r="J71" s="23">
        <f t="shared" si="4"/>
        <v>73</v>
      </c>
      <c r="K71" s="23">
        <f t="shared" si="5"/>
        <v>75</v>
      </c>
      <c r="L71" s="22" t="str">
        <f t="shared" si="6"/>
        <v>ធ្លាក់</v>
      </c>
      <c r="M71" s="14"/>
    </row>
    <row r="72" spans="1:13" ht="19.5" customHeight="1" x14ac:dyDescent="0.25">
      <c r="A72" s="19">
        <f t="shared" ca="1" si="7"/>
        <v>63</v>
      </c>
      <c r="B72" s="20" t="s">
        <v>121</v>
      </c>
      <c r="C72" s="20" t="s">
        <v>146</v>
      </c>
      <c r="D72" s="20" t="s">
        <v>18</v>
      </c>
      <c r="E72" s="21">
        <v>39226</v>
      </c>
      <c r="F72" s="22" t="s">
        <v>122</v>
      </c>
      <c r="G72" s="22" t="s">
        <v>141</v>
      </c>
      <c r="H72" s="23">
        <v>80</v>
      </c>
      <c r="I72" s="23">
        <v>46</v>
      </c>
      <c r="J72" s="23">
        <f t="shared" si="4"/>
        <v>126</v>
      </c>
      <c r="K72" s="23">
        <f t="shared" si="5"/>
        <v>13</v>
      </c>
      <c r="L72" s="22" t="str">
        <f t="shared" si="6"/>
        <v>ជាប់</v>
      </c>
      <c r="M72" s="14"/>
    </row>
    <row r="73" spans="1:13" ht="19.5" customHeight="1" x14ac:dyDescent="0.25">
      <c r="A73" s="19">
        <f t="shared" ca="1" si="7"/>
        <v>64</v>
      </c>
      <c r="B73" s="52" t="s">
        <v>223</v>
      </c>
      <c r="C73" s="52" t="s">
        <v>224</v>
      </c>
      <c r="D73" s="52" t="s">
        <v>18</v>
      </c>
      <c r="E73" s="53">
        <v>38762</v>
      </c>
      <c r="F73" s="54" t="s">
        <v>225</v>
      </c>
      <c r="G73" s="54" t="s">
        <v>141</v>
      </c>
      <c r="H73" s="55">
        <v>80</v>
      </c>
      <c r="I73" s="55">
        <v>37</v>
      </c>
      <c r="J73" s="55">
        <f t="shared" si="4"/>
        <v>117</v>
      </c>
      <c r="K73" s="55">
        <f t="shared" si="5"/>
        <v>30</v>
      </c>
      <c r="L73" s="54" t="str">
        <f t="shared" si="6"/>
        <v>ជាប់</v>
      </c>
      <c r="M73" s="56" t="s">
        <v>204</v>
      </c>
    </row>
    <row r="74" spans="1:13" ht="19.5" customHeight="1" x14ac:dyDescent="0.25">
      <c r="A74" s="19">
        <f t="shared" ca="1" si="7"/>
        <v>65</v>
      </c>
      <c r="B74" s="20" t="s">
        <v>139</v>
      </c>
      <c r="C74" s="20" t="s">
        <v>140</v>
      </c>
      <c r="D74" s="20" t="s">
        <v>18</v>
      </c>
      <c r="E74" s="21">
        <v>38632</v>
      </c>
      <c r="F74" s="22" t="s">
        <v>130</v>
      </c>
      <c r="G74" s="22" t="s">
        <v>141</v>
      </c>
      <c r="H74" s="23">
        <v>90</v>
      </c>
      <c r="I74" s="23">
        <v>42</v>
      </c>
      <c r="J74" s="23">
        <f t="shared" ref="J74:J86" si="8">IF(OR(H74&lt;&gt;"",I74&lt;&gt;""),SUM(H74:I74),"")</f>
        <v>132</v>
      </c>
      <c r="K74" s="23">
        <f t="shared" ref="K74:K86" si="9">IF(J74="","",RANK(J74,$J$10:$J$86))</f>
        <v>5</v>
      </c>
      <c r="L74" s="22" t="str">
        <f t="shared" ref="L74:L86" si="10">IF(K74="","",IF(J74&gt;=100,"ជាប់","ធ្លាក់"))</f>
        <v>ជាប់</v>
      </c>
      <c r="M74" s="14" t="s">
        <v>42</v>
      </c>
    </row>
    <row r="75" spans="1:13" ht="19.5" customHeight="1" x14ac:dyDescent="0.25">
      <c r="A75" s="19">
        <f t="shared" ref="A75:A86" ca="1" si="11">IF(B75="", "", INDIRECT("A" &amp; ROW(A74)) + 1)</f>
        <v>66</v>
      </c>
      <c r="B75" s="20" t="s">
        <v>142</v>
      </c>
      <c r="C75" s="20" t="s">
        <v>143</v>
      </c>
      <c r="D75" s="20" t="s">
        <v>18</v>
      </c>
      <c r="E75" s="21">
        <v>39783</v>
      </c>
      <c r="F75" s="22" t="s">
        <v>41</v>
      </c>
      <c r="G75" s="22" t="s">
        <v>141</v>
      </c>
      <c r="H75" s="23">
        <v>80</v>
      </c>
      <c r="I75" s="23">
        <v>39</v>
      </c>
      <c r="J75" s="23">
        <f t="shared" si="8"/>
        <v>119</v>
      </c>
      <c r="K75" s="23">
        <f t="shared" si="9"/>
        <v>23</v>
      </c>
      <c r="L75" s="22" t="str">
        <f t="shared" si="10"/>
        <v>ជាប់</v>
      </c>
      <c r="M75" s="14" t="s">
        <v>42</v>
      </c>
    </row>
    <row r="76" spans="1:13" ht="19.5" customHeight="1" x14ac:dyDescent="0.25">
      <c r="A76" s="19">
        <f t="shared" ca="1" si="11"/>
        <v>67</v>
      </c>
      <c r="B76" s="52" t="s">
        <v>158</v>
      </c>
      <c r="C76" s="52" t="s">
        <v>159</v>
      </c>
      <c r="D76" s="52" t="s">
        <v>18</v>
      </c>
      <c r="E76" s="53">
        <v>38544</v>
      </c>
      <c r="F76" s="52" t="s">
        <v>127</v>
      </c>
      <c r="G76" s="52" t="s">
        <v>141</v>
      </c>
      <c r="H76" s="55">
        <v>70</v>
      </c>
      <c r="I76" s="55">
        <v>29</v>
      </c>
      <c r="J76" s="55">
        <f t="shared" si="8"/>
        <v>99</v>
      </c>
      <c r="K76" s="55">
        <f t="shared" si="9"/>
        <v>61</v>
      </c>
      <c r="L76" s="54" t="str">
        <f t="shared" si="10"/>
        <v>ធ្លាក់</v>
      </c>
      <c r="M76" s="56"/>
    </row>
    <row r="77" spans="1:13" ht="19.5" customHeight="1" x14ac:dyDescent="0.25">
      <c r="A77" s="19">
        <f t="shared" ca="1" si="11"/>
        <v>68</v>
      </c>
      <c r="B77" s="52" t="s">
        <v>150</v>
      </c>
      <c r="C77" s="52" t="s">
        <v>151</v>
      </c>
      <c r="D77" s="52" t="s">
        <v>18</v>
      </c>
      <c r="E77" s="53">
        <v>39982</v>
      </c>
      <c r="F77" s="52" t="s">
        <v>127</v>
      </c>
      <c r="G77" s="52" t="s">
        <v>141</v>
      </c>
      <c r="H77" s="55">
        <v>75</v>
      </c>
      <c r="I77" s="55">
        <v>58</v>
      </c>
      <c r="J77" s="55">
        <f t="shared" si="8"/>
        <v>133</v>
      </c>
      <c r="K77" s="55">
        <f t="shared" si="9"/>
        <v>3</v>
      </c>
      <c r="L77" s="54" t="str">
        <f t="shared" si="10"/>
        <v>ជាប់</v>
      </c>
      <c r="M77" s="56"/>
    </row>
    <row r="78" spans="1:13" ht="19.5" customHeight="1" x14ac:dyDescent="0.25">
      <c r="A78" s="19">
        <f t="shared" ca="1" si="11"/>
        <v>69</v>
      </c>
      <c r="B78" s="20" t="s">
        <v>170</v>
      </c>
      <c r="C78" s="20" t="s">
        <v>171</v>
      </c>
      <c r="D78" s="20" t="s">
        <v>18</v>
      </c>
      <c r="E78" s="21">
        <v>39158</v>
      </c>
      <c r="F78" s="20" t="s">
        <v>172</v>
      </c>
      <c r="G78" s="20" t="s">
        <v>141</v>
      </c>
      <c r="H78" s="23">
        <v>65</v>
      </c>
      <c r="I78" s="23">
        <v>35</v>
      </c>
      <c r="J78" s="23">
        <f t="shared" si="8"/>
        <v>100</v>
      </c>
      <c r="K78" s="23">
        <f t="shared" si="9"/>
        <v>58</v>
      </c>
      <c r="L78" s="22" t="str">
        <f t="shared" si="10"/>
        <v>ជាប់</v>
      </c>
      <c r="M78" s="14"/>
    </row>
    <row r="79" spans="1:13" ht="19.5" customHeight="1" x14ac:dyDescent="0.25">
      <c r="A79" s="19">
        <f t="shared" ca="1" si="11"/>
        <v>70</v>
      </c>
      <c r="B79" s="20" t="s">
        <v>80</v>
      </c>
      <c r="C79" s="20" t="s">
        <v>144</v>
      </c>
      <c r="D79" s="20" t="s">
        <v>18</v>
      </c>
      <c r="E79" s="21">
        <v>40074</v>
      </c>
      <c r="F79" s="20" t="s">
        <v>41</v>
      </c>
      <c r="G79" s="20" t="s">
        <v>141</v>
      </c>
      <c r="H79" s="23">
        <v>85</v>
      </c>
      <c r="I79" s="23">
        <v>44</v>
      </c>
      <c r="J79" s="23">
        <f t="shared" si="8"/>
        <v>129</v>
      </c>
      <c r="K79" s="23">
        <f t="shared" si="9"/>
        <v>9</v>
      </c>
      <c r="L79" s="22" t="str">
        <f t="shared" si="10"/>
        <v>ជាប់</v>
      </c>
      <c r="M79" s="14" t="s">
        <v>42</v>
      </c>
    </row>
    <row r="80" spans="1:13" ht="19.5" customHeight="1" x14ac:dyDescent="0.25">
      <c r="A80" s="19">
        <f t="shared" ca="1" si="11"/>
        <v>71</v>
      </c>
      <c r="B80" s="52" t="s">
        <v>226</v>
      </c>
      <c r="C80" s="52" t="s">
        <v>227</v>
      </c>
      <c r="D80" s="52" t="s">
        <v>18</v>
      </c>
      <c r="E80" s="53">
        <v>40030</v>
      </c>
      <c r="F80" s="52" t="s">
        <v>228</v>
      </c>
      <c r="G80" s="52" t="s">
        <v>141</v>
      </c>
      <c r="H80" s="55">
        <v>85</v>
      </c>
      <c r="I80" s="55">
        <v>37</v>
      </c>
      <c r="J80" s="55">
        <f t="shared" si="8"/>
        <v>122</v>
      </c>
      <c r="K80" s="55">
        <f t="shared" si="9"/>
        <v>18</v>
      </c>
      <c r="L80" s="54" t="str">
        <f t="shared" si="10"/>
        <v>ជាប់</v>
      </c>
      <c r="M80" s="56" t="s">
        <v>204</v>
      </c>
    </row>
    <row r="81" spans="1:17" ht="19.5" customHeight="1" x14ac:dyDescent="0.25">
      <c r="A81" s="19">
        <f t="shared" ca="1" si="11"/>
        <v>72</v>
      </c>
      <c r="B81" s="20" t="s">
        <v>77</v>
      </c>
      <c r="C81" s="20" t="s">
        <v>145</v>
      </c>
      <c r="D81" s="20" t="s">
        <v>18</v>
      </c>
      <c r="E81" s="21">
        <v>39259</v>
      </c>
      <c r="F81" s="22" t="s">
        <v>41</v>
      </c>
      <c r="G81" s="22" t="s">
        <v>141</v>
      </c>
      <c r="H81" s="23">
        <v>85</v>
      </c>
      <c r="I81" s="23">
        <v>31</v>
      </c>
      <c r="J81" s="23">
        <f t="shared" si="8"/>
        <v>116</v>
      </c>
      <c r="K81" s="23">
        <f t="shared" si="9"/>
        <v>33</v>
      </c>
      <c r="L81" s="22" t="str">
        <f t="shared" si="10"/>
        <v>ជាប់</v>
      </c>
      <c r="M81" s="14" t="s">
        <v>42</v>
      </c>
    </row>
    <row r="82" spans="1:17" ht="19.5" customHeight="1" x14ac:dyDescent="0.25">
      <c r="A82" s="19">
        <f t="shared" ca="1" si="11"/>
        <v>73</v>
      </c>
      <c r="B82" s="52" t="s">
        <v>148</v>
      </c>
      <c r="C82" s="52" t="s">
        <v>149</v>
      </c>
      <c r="D82" s="52" t="s">
        <v>18</v>
      </c>
      <c r="E82" s="53">
        <v>40195</v>
      </c>
      <c r="F82" s="54" t="s">
        <v>147</v>
      </c>
      <c r="G82" s="54" t="s">
        <v>141</v>
      </c>
      <c r="H82" s="55">
        <v>85</v>
      </c>
      <c r="I82" s="55">
        <v>33</v>
      </c>
      <c r="J82" s="55">
        <f t="shared" si="8"/>
        <v>118</v>
      </c>
      <c r="K82" s="55">
        <f t="shared" si="9"/>
        <v>27</v>
      </c>
      <c r="L82" s="54" t="str">
        <f t="shared" si="10"/>
        <v>ជាប់</v>
      </c>
      <c r="M82" s="56" t="s">
        <v>204</v>
      </c>
    </row>
    <row r="83" spans="1:17" ht="19.5" customHeight="1" x14ac:dyDescent="0.25">
      <c r="A83" s="19">
        <f t="shared" ca="1" si="11"/>
        <v>74</v>
      </c>
      <c r="B83" s="52" t="s">
        <v>229</v>
      </c>
      <c r="C83" s="52" t="s">
        <v>230</v>
      </c>
      <c r="D83" s="52" t="s">
        <v>18</v>
      </c>
      <c r="E83" s="53">
        <v>39824</v>
      </c>
      <c r="F83" s="54" t="s">
        <v>231</v>
      </c>
      <c r="G83" s="54" t="s">
        <v>141</v>
      </c>
      <c r="H83" s="55">
        <v>85</v>
      </c>
      <c r="I83" s="55">
        <v>44</v>
      </c>
      <c r="J83" s="55">
        <f t="shared" si="8"/>
        <v>129</v>
      </c>
      <c r="K83" s="55">
        <f t="shared" si="9"/>
        <v>9</v>
      </c>
      <c r="L83" s="54" t="str">
        <f t="shared" si="10"/>
        <v>ជាប់</v>
      </c>
      <c r="M83" s="56" t="s">
        <v>204</v>
      </c>
    </row>
    <row r="84" spans="1:17" ht="19.5" customHeight="1" x14ac:dyDescent="0.25">
      <c r="A84" s="19">
        <f t="shared" ca="1" si="11"/>
        <v>75</v>
      </c>
      <c r="B84" s="52" t="s">
        <v>153</v>
      </c>
      <c r="C84" s="52" t="s">
        <v>154</v>
      </c>
      <c r="D84" s="52" t="s">
        <v>18</v>
      </c>
      <c r="E84" s="53">
        <v>40068</v>
      </c>
      <c r="F84" s="54" t="s">
        <v>152</v>
      </c>
      <c r="G84" s="54" t="s">
        <v>141</v>
      </c>
      <c r="H84" s="55">
        <v>70</v>
      </c>
      <c r="I84" s="55">
        <v>33</v>
      </c>
      <c r="J84" s="55">
        <f t="shared" si="8"/>
        <v>103</v>
      </c>
      <c r="K84" s="55">
        <f t="shared" si="9"/>
        <v>53</v>
      </c>
      <c r="L84" s="54" t="str">
        <f t="shared" si="10"/>
        <v>ជាប់</v>
      </c>
      <c r="M84" s="56" t="s">
        <v>84</v>
      </c>
    </row>
    <row r="85" spans="1:17" ht="19.5" customHeight="1" x14ac:dyDescent="0.25">
      <c r="A85" s="19">
        <f t="shared" ca="1" si="11"/>
        <v>76</v>
      </c>
      <c r="B85" s="52" t="s">
        <v>155</v>
      </c>
      <c r="C85" s="52" t="s">
        <v>151</v>
      </c>
      <c r="D85" s="52" t="s">
        <v>18</v>
      </c>
      <c r="E85" s="53">
        <v>39982</v>
      </c>
      <c r="F85" s="54" t="s">
        <v>127</v>
      </c>
      <c r="G85" s="54" t="s">
        <v>141</v>
      </c>
      <c r="H85" s="55">
        <v>0</v>
      </c>
      <c r="I85" s="55">
        <v>58</v>
      </c>
      <c r="J85" s="55">
        <f t="shared" si="8"/>
        <v>58</v>
      </c>
      <c r="K85" s="55">
        <f t="shared" si="9"/>
        <v>77</v>
      </c>
      <c r="L85" s="54" t="str">
        <f t="shared" si="10"/>
        <v>ធ្លាក់</v>
      </c>
      <c r="M85" s="56"/>
    </row>
    <row r="86" spans="1:17" ht="19.5" customHeight="1" x14ac:dyDescent="0.25">
      <c r="A86" s="19">
        <f t="shared" ca="1" si="11"/>
        <v>77</v>
      </c>
      <c r="B86" s="52" t="s">
        <v>156</v>
      </c>
      <c r="C86" s="52" t="s">
        <v>157</v>
      </c>
      <c r="D86" s="52" t="s">
        <v>23</v>
      </c>
      <c r="E86" s="53">
        <v>39187</v>
      </c>
      <c r="F86" s="54" t="s">
        <v>116</v>
      </c>
      <c r="G86" s="54" t="s">
        <v>141</v>
      </c>
      <c r="H86" s="55">
        <v>85</v>
      </c>
      <c r="I86" s="55">
        <v>27</v>
      </c>
      <c r="J86" s="55">
        <f t="shared" si="8"/>
        <v>112</v>
      </c>
      <c r="K86" s="55">
        <f t="shared" si="9"/>
        <v>39</v>
      </c>
      <c r="L86" s="54" t="str">
        <f t="shared" si="10"/>
        <v>ជាប់</v>
      </c>
      <c r="M86" s="56"/>
    </row>
    <row r="87" spans="1:17" ht="19.5" customHeight="1" x14ac:dyDescent="0.25">
      <c r="A87" s="9"/>
      <c r="B87" s="10"/>
      <c r="C87" s="10"/>
      <c r="D87" s="10"/>
      <c r="E87" s="10"/>
      <c r="F87" s="11"/>
      <c r="G87" s="11"/>
      <c r="H87" s="12"/>
      <c r="I87" s="13"/>
      <c r="J87" s="13"/>
      <c r="K87" s="13"/>
      <c r="L87" s="13"/>
      <c r="M87" s="13"/>
      <c r="P87" s="32"/>
      <c r="Q87" s="32"/>
    </row>
    <row r="88" spans="1:17" ht="19.5" customHeight="1" x14ac:dyDescent="0.25">
      <c r="A88" s="3"/>
      <c r="B88" s="4"/>
      <c r="C88" s="4"/>
      <c r="D88" s="4"/>
      <c r="E88" s="4"/>
      <c r="F88" s="7"/>
      <c r="G88" s="7"/>
      <c r="H88" s="5"/>
      <c r="I88" s="6"/>
      <c r="J88" s="6"/>
      <c r="K88" s="6"/>
      <c r="L88" s="6"/>
      <c r="M88" s="6"/>
    </row>
    <row r="89" spans="1:17" ht="19.5" customHeight="1" x14ac:dyDescent="0.25">
      <c r="A89" s="3"/>
      <c r="B89" s="4"/>
      <c r="C89" s="4"/>
      <c r="D89" s="24"/>
      <c r="E89" s="4"/>
      <c r="F89" s="7"/>
      <c r="G89" s="7"/>
      <c r="H89" s="5"/>
      <c r="I89" s="6"/>
      <c r="J89" s="6"/>
      <c r="K89" s="6"/>
      <c r="L89" s="6"/>
      <c r="M89" s="6"/>
    </row>
    <row r="90" spans="1:17" ht="19.5" customHeight="1" x14ac:dyDescent="0.25">
      <c r="A90" s="3"/>
      <c r="B90" s="4"/>
      <c r="C90" s="4"/>
      <c r="D90" s="24"/>
      <c r="E90" s="4"/>
      <c r="F90" s="7"/>
      <c r="G90" s="7"/>
      <c r="H90" s="5"/>
      <c r="I90" s="6"/>
      <c r="J90" s="6"/>
      <c r="K90" s="6"/>
      <c r="L90" s="6"/>
      <c r="M90" s="6"/>
    </row>
    <row r="95" spans="1:17" x14ac:dyDescent="0.25">
      <c r="M95" s="25" t="e" cm="1">
        <f ca="1">"បញ្ឈប់បញ្ជីត្រឹមឈ្មោះ " &amp; LOOKUP(2,1/(B:B&lt;&gt;""),B:B) &amp; " " &amp;LOOKUP(2,1/(C:C&lt;&gt;""),C:C) &amp; "  ចំនួនសិស្សសរុប " &amp;LOOKUP(2,1/(A:A&lt;&gt;""),A:A) &amp; "នាក់  នៅក្នុងនោះមានស្រី " &amp; COUNTIF(Attendant_Gender,"ស") &amp; "នាក់"</f>
        <v>#NAME?</v>
      </c>
    </row>
  </sheetData>
  <sortState xmlns:xlrd2="http://schemas.microsoft.com/office/spreadsheetml/2017/richdata2" ref="B10:M86">
    <sortCondition ref="G10:G86"/>
  </sortState>
  <mergeCells count="7">
    <mergeCell ref="E7:I7"/>
    <mergeCell ref="E8:I8"/>
    <mergeCell ref="A1:M1"/>
    <mergeCell ref="A2:M2"/>
    <mergeCell ref="A3:M3"/>
    <mergeCell ref="A5:F5"/>
    <mergeCell ref="A6:F6"/>
  </mergeCells>
  <phoneticPr fontId="7" type="noConversion"/>
  <pageMargins left="0.25" right="0.25" top="0.75" bottom="0.75" header="0.3" footer="0.3"/>
  <pageSetup paperSize="9" orientation="landscape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FA775E-FB63-40BA-9823-66CB0A2EB4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Exam Room 1</vt:lpstr>
      <vt:lpstr>Exam Room 2</vt:lpstr>
      <vt:lpstr>Computer</vt:lpstr>
      <vt:lpstr>Electrical</vt:lpstr>
      <vt:lpstr>CNC</vt:lpstr>
      <vt:lpstr>Result</vt:lpstr>
      <vt:lpstr>'Exam Room 2'!Attendant_Gender</vt:lpstr>
      <vt:lpstr>'Exam Room 2'!Attendant_names</vt:lpstr>
      <vt:lpstr>'Exam Room 2'!Attendant_Numbers</vt:lpstr>
      <vt:lpstr>CNC!SummaryCell</vt:lpstr>
      <vt:lpstr>Computer!SummaryCell</vt:lpstr>
      <vt:lpstr>Electrical!SummaryCell</vt:lpstr>
      <vt:lpstr>CNC!TotalFemaleStudents</vt:lpstr>
      <vt:lpstr>Computer!TotalFemaleStudents</vt:lpstr>
      <vt:lpstr>Electrical!TotalFemaleStudents</vt:lpstr>
      <vt:lpstr>CNC!TotalStudents</vt:lpstr>
      <vt:lpstr>Computer!TotalStudents</vt:lpstr>
      <vt:lpstr>Electrical!TotalStudents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ខាត់ សម្បត្តិ</dc:creator>
  <cp:keywords>ដុនបូស្កូ ប៉ោយប៉ែត</cp:keywords>
  <cp:lastModifiedBy>USER</cp:lastModifiedBy>
  <cp:lastPrinted>2025-12-29T13:33:21Z</cp:lastPrinted>
  <dcterms:created xsi:type="dcterms:W3CDTF">2023-10-05T03:38:07Z</dcterms:created>
  <dcterms:modified xsi:type="dcterms:W3CDTF">2025-12-29T13:37:12Z</dcterms:modified>
</cp:coreProperties>
</file>