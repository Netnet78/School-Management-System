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Projects\C# Projects\SchoolManagementSystem\Assets\Spreadsheets\"/>
    </mc:Choice>
  </mc:AlternateContent>
  <xr:revisionPtr revIDLastSave="0" documentId="13_ncr:1_{B701E537-3611-45A1-9DC3-BBF2F2D2B2BA}" xr6:coauthVersionLast="47" xr6:coauthVersionMax="47" xr10:uidLastSave="{00000000-0000-0000-0000-000000000000}"/>
  <bookViews>
    <workbookView xWindow="-120" yWindow="-120" windowWidth="29040" windowHeight="15720" tabRatio="913" xr2:uid="{00000000-000D-0000-FFFF-FFFF00000000}"/>
  </bookViews>
  <sheets>
    <sheet name="ស្ថិតិលទ្ធផលសិក្សាតាមនិទ្ទេស" sheetId="1" r:id="rId1"/>
    <sheet name="ប្រៀបធៀបលទ្ធផលសរុប" sheetId="5" r:id="rId2"/>
    <sheet name="មេកានិច១" sheetId="18" r:id="rId3"/>
    <sheet name="អគ្គិសនី១" sheetId="15" r:id="rId4"/>
    <sheet name="កុំព្យទ័រ១" sheetId="10" r:id="rId5"/>
    <sheet name="មេកានិច២" sheetId="17" r:id="rId6"/>
    <sheet name="អគ្គិសនី២" sheetId="13" r:id="rId7"/>
    <sheet name="កុំព្យូទ័រ២" sheetId="16" r:id="rId8"/>
    <sheet name="អគ្គិសនី៣" sheetId="14" r:id="rId9"/>
    <sheet name="កុំព្យទ័រ៣" sheetId="11" r:id="rId10"/>
    <sheet name="ក្រាបលទ្ធផលការសិក្សា" sheetId="3" r:id="rId11"/>
    <sheet name="ក្រាបលទ្ធផលសរុប" sheetId="4" r:id="rId12"/>
  </sheets>
  <definedNames>
    <definedName name="_xlnm.Print_Area" localSheetId="4">កុំព្យទ័រ១!$A$1:$W$62</definedName>
    <definedName name="_xlnm.Print_Area" localSheetId="9">កុំព្យទ័រ៣!$A$1:$W$60</definedName>
    <definedName name="_xlnm.Print_Area" localSheetId="2">មេកានិច១!$A$1:$W$52</definedName>
    <definedName name="_xlnm.Print_Area" localSheetId="5">មេកានិច២!$A$1:$W$54</definedName>
    <definedName name="_xlnm.Print_Area" localSheetId="0">ស្ថិតិលទ្ធផលសិក្សាតាមនិទ្ទេស!$A$1:$V$78</definedName>
    <definedName name="_xlnm.Print_Area" localSheetId="3">អគ្គិសនី១!$A$1:$W$55</definedName>
    <definedName name="_xlnm.Print_Area" localSheetId="8">អគ្គិសនី៣!$A$1:$W$51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" i="1" l="1"/>
  <c r="H16" i="1"/>
  <c r="H14" i="1"/>
  <c r="G14" i="1"/>
  <c r="G16" i="1"/>
  <c r="G15" i="1"/>
  <c r="A59" i="10"/>
  <c r="W17" i="10"/>
  <c r="W15" i="18"/>
  <c r="Q15" i="18" s="1"/>
  <c r="A30" i="13"/>
  <c r="W19" i="18" l="1"/>
  <c r="Q19" i="18" s="1"/>
  <c r="R19" i="18" s="1"/>
  <c r="S19" i="18" l="1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Q34" i="16" s="1"/>
  <c r="W35" i="16"/>
  <c r="W36" i="16"/>
  <c r="W37" i="16"/>
  <c r="W38" i="16"/>
  <c r="W12" i="16"/>
  <c r="W20" i="15"/>
  <c r="W21" i="15"/>
  <c r="Q21" i="15" s="1"/>
  <c r="R21" i="15" s="1"/>
  <c r="W22" i="15"/>
  <c r="W23" i="15"/>
  <c r="Q23" i="15" s="1"/>
  <c r="R23" i="15" s="1"/>
  <c r="R15" i="18"/>
  <c r="W17" i="18"/>
  <c r="Q17" i="18" s="1"/>
  <c r="R17" i="18" s="1"/>
  <c r="S17" i="18" s="1"/>
  <c r="W18" i="18"/>
  <c r="Q18" i="18" s="1"/>
  <c r="R18" i="18" s="1"/>
  <c r="W20" i="18"/>
  <c r="Q20" i="18" s="1"/>
  <c r="R20" i="18" s="1"/>
  <c r="W21" i="18"/>
  <c r="Q21" i="18" s="1"/>
  <c r="R21" i="18" s="1"/>
  <c r="Q17" i="10"/>
  <c r="R17" i="10" s="1"/>
  <c r="A29" i="18"/>
  <c r="Q22" i="15" l="1"/>
  <c r="R22" i="15" s="1"/>
  <c r="S22" i="15" s="1"/>
  <c r="Q20" i="15"/>
  <c r="R20" i="15" s="1"/>
  <c r="S20" i="15" s="1"/>
  <c r="S23" i="15"/>
  <c r="S21" i="15"/>
  <c r="S15" i="18"/>
  <c r="S18" i="18"/>
  <c r="S21" i="18"/>
  <c r="S20" i="18"/>
  <c r="S17" i="10"/>
  <c r="A41" i="10"/>
  <c r="W33" i="10"/>
  <c r="Q33" i="10" s="1"/>
  <c r="R33" i="10" s="1"/>
  <c r="S33" i="10" l="1"/>
  <c r="A34" i="15" l="1"/>
  <c r="A36" i="11"/>
  <c r="A8" i="13"/>
  <c r="A8" i="17"/>
  <c r="A8" i="10"/>
  <c r="A8" i="15"/>
  <c r="K23" i="1"/>
  <c r="L23" i="1"/>
  <c r="M23" i="1"/>
  <c r="N23" i="1"/>
  <c r="O23" i="1"/>
  <c r="P23" i="1"/>
  <c r="Q23" i="1"/>
  <c r="R23" i="1"/>
  <c r="S23" i="1"/>
  <c r="T23" i="1"/>
  <c r="G23" i="1" l="1"/>
  <c r="H23" i="1"/>
  <c r="W27" i="10"/>
  <c r="Q27" i="10" s="1"/>
  <c r="R27" i="10" s="1"/>
  <c r="S27" i="10" s="1"/>
  <c r="W28" i="10"/>
  <c r="Q28" i="10" s="1"/>
  <c r="R28" i="10" s="1"/>
  <c r="W29" i="10"/>
  <c r="Q29" i="10" s="1"/>
  <c r="R29" i="10" s="1"/>
  <c r="W30" i="10"/>
  <c r="Q30" i="10" s="1"/>
  <c r="R30" i="10" s="1"/>
  <c r="W31" i="10"/>
  <c r="Q31" i="10" s="1"/>
  <c r="R31" i="10" s="1"/>
  <c r="S31" i="10" s="1"/>
  <c r="W32" i="10"/>
  <c r="Q32" i="10" s="1"/>
  <c r="R32" i="10" s="1"/>
  <c r="W34" i="10"/>
  <c r="Q34" i="10" s="1"/>
  <c r="R34" i="10" s="1"/>
  <c r="W24" i="15"/>
  <c r="Q24" i="15" s="1"/>
  <c r="R24" i="15" s="1"/>
  <c r="S24" i="15" s="1"/>
  <c r="W18" i="15"/>
  <c r="Q18" i="15" s="1"/>
  <c r="R18" i="15" s="1"/>
  <c r="W19" i="15"/>
  <c r="Q19" i="15" s="1"/>
  <c r="R19" i="15" s="1"/>
  <c r="A48" i="18"/>
  <c r="C43" i="18"/>
  <c r="B43" i="18"/>
  <c r="W16" i="18"/>
  <c r="Q16" i="18" s="1"/>
  <c r="R16" i="18" s="1"/>
  <c r="W14" i="18"/>
  <c r="Q14" i="18" s="1"/>
  <c r="R14" i="18" s="1"/>
  <c r="W13" i="18"/>
  <c r="Q13" i="18" s="1"/>
  <c r="R13" i="18" s="1"/>
  <c r="W12" i="18"/>
  <c r="Q12" i="18" s="1"/>
  <c r="R12" i="18" s="1"/>
  <c r="A6" i="18"/>
  <c r="A5" i="18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12" i="17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T19" i="18" l="1"/>
  <c r="T15" i="18"/>
  <c r="T21" i="18"/>
  <c r="S12" i="18"/>
  <c r="E22" i="1"/>
  <c r="F22" i="1"/>
  <c r="S29" i="10"/>
  <c r="S28" i="10"/>
  <c r="S34" i="10"/>
  <c r="S30" i="10"/>
  <c r="S32" i="10"/>
  <c r="S19" i="15"/>
  <c r="S18" i="15"/>
  <c r="S14" i="18"/>
  <c r="S16" i="18"/>
  <c r="S13" i="18"/>
  <c r="R34" i="16"/>
  <c r="W35" i="11"/>
  <c r="W34" i="11"/>
  <c r="W33" i="11"/>
  <c r="W30" i="11"/>
  <c r="W29" i="11"/>
  <c r="W28" i="11"/>
  <c r="W26" i="11"/>
  <c r="W25" i="11"/>
  <c r="W24" i="11"/>
  <c r="W23" i="11"/>
  <c r="W22" i="11"/>
  <c r="W21" i="11"/>
  <c r="W19" i="11"/>
  <c r="W40" i="10"/>
  <c r="W39" i="10"/>
  <c r="W38" i="10"/>
  <c r="W37" i="10"/>
  <c r="W36" i="10"/>
  <c r="W35" i="10"/>
  <c r="W26" i="10"/>
  <c r="W25" i="10"/>
  <c r="W24" i="10"/>
  <c r="W23" i="10"/>
  <c r="W22" i="10"/>
  <c r="W21" i="10"/>
  <c r="W20" i="10"/>
  <c r="W19" i="10"/>
  <c r="W18" i="10"/>
  <c r="Q18" i="10" s="1"/>
  <c r="R18" i="10" s="1"/>
  <c r="S18" i="10" s="1"/>
  <c r="W16" i="10"/>
  <c r="W15" i="10"/>
  <c r="W14" i="10"/>
  <c r="W13" i="10"/>
  <c r="W12" i="10"/>
  <c r="W20" i="11"/>
  <c r="W27" i="11"/>
  <c r="W31" i="11"/>
  <c r="W32" i="11"/>
  <c r="W18" i="11"/>
  <c r="W17" i="11"/>
  <c r="W16" i="11"/>
  <c r="W15" i="11"/>
  <c r="W14" i="11"/>
  <c r="W13" i="11"/>
  <c r="W12" i="11"/>
  <c r="T17" i="18" l="1"/>
  <c r="T20" i="18"/>
  <c r="T18" i="18"/>
  <c r="T12" i="18"/>
  <c r="R43" i="18"/>
  <c r="U22" i="1" s="1"/>
  <c r="T13" i="18"/>
  <c r="T16" i="18"/>
  <c r="T14" i="18"/>
  <c r="C48" i="3"/>
  <c r="S48" i="3"/>
  <c r="T48" i="3"/>
  <c r="D48" i="3"/>
  <c r="J43" i="18"/>
  <c r="O43" i="18"/>
  <c r="K43" i="18"/>
  <c r="W30" i="15"/>
  <c r="Q22" i="13"/>
  <c r="R22" i="13" s="1"/>
  <c r="Q13" i="13"/>
  <c r="Q40" i="10"/>
  <c r="Q39" i="10"/>
  <c r="Q38" i="10"/>
  <c r="Q37" i="10"/>
  <c r="W25" i="14"/>
  <c r="W24" i="14"/>
  <c r="W23" i="14"/>
  <c r="W21" i="14"/>
  <c r="W19" i="14"/>
  <c r="W18" i="14"/>
  <c r="W17" i="14"/>
  <c r="W16" i="14"/>
  <c r="W15" i="14"/>
  <c r="Q25" i="17"/>
  <c r="R25" i="17" s="1"/>
  <c r="S25" i="17" s="1"/>
  <c r="Q15" i="17"/>
  <c r="Q36" i="10"/>
  <c r="Q35" i="10"/>
  <c r="Q26" i="10"/>
  <c r="Q25" i="10"/>
  <c r="Q24" i="10"/>
  <c r="Q23" i="10"/>
  <c r="Q22" i="10"/>
  <c r="Q21" i="10"/>
  <c r="Q20" i="10"/>
  <c r="Q19" i="10"/>
  <c r="Q16" i="10"/>
  <c r="Q15" i="10"/>
  <c r="Q14" i="10"/>
  <c r="Q13" i="10"/>
  <c r="Q21" i="11"/>
  <c r="Q33" i="16"/>
  <c r="A39" i="16"/>
  <c r="W22" i="14"/>
  <c r="W20" i="14"/>
  <c r="W14" i="14"/>
  <c r="W13" i="14"/>
  <c r="W12" i="14"/>
  <c r="Q12" i="13"/>
  <c r="R12" i="13" s="1"/>
  <c r="Q30" i="11"/>
  <c r="L43" i="18" l="1"/>
  <c r="M43" i="18"/>
  <c r="N43" i="18"/>
  <c r="P43" i="18"/>
  <c r="Q43" i="18"/>
  <c r="F43" i="18"/>
  <c r="I22" i="1" s="1"/>
  <c r="S43" i="18"/>
  <c r="V22" i="1" s="1"/>
  <c r="H43" i="18"/>
  <c r="G43" i="18"/>
  <c r="J22" i="1" s="1"/>
  <c r="I43" i="18"/>
  <c r="S22" i="13"/>
  <c r="S12" i="13"/>
  <c r="R33" i="16"/>
  <c r="S33" i="16" s="1"/>
  <c r="C53" i="16"/>
  <c r="Q24" i="17"/>
  <c r="R24" i="17" s="1"/>
  <c r="A29" i="14"/>
  <c r="B48" i="17"/>
  <c r="B53" i="16"/>
  <c r="Q34" i="11"/>
  <c r="R34" i="11" s="1"/>
  <c r="S34" i="11" s="1"/>
  <c r="Q35" i="11"/>
  <c r="R35" i="11" s="1"/>
  <c r="S35" i="11" s="1"/>
  <c r="A8" i="11"/>
  <c r="A8" i="16" s="1"/>
  <c r="A6" i="11"/>
  <c r="A5" i="11"/>
  <c r="Q33" i="11"/>
  <c r="R33" i="11" s="1"/>
  <c r="S33" i="11" s="1"/>
  <c r="Q32" i="11"/>
  <c r="R32" i="11" s="1"/>
  <c r="S32" i="11" s="1"/>
  <c r="W28" i="15"/>
  <c r="Q28" i="15" s="1"/>
  <c r="R28" i="15" s="1"/>
  <c r="W29" i="15"/>
  <c r="Q29" i="15" s="1"/>
  <c r="R29" i="15" s="1"/>
  <c r="Q30" i="15"/>
  <c r="R30" i="15" s="1"/>
  <c r="W31" i="15"/>
  <c r="Q31" i="15" s="1"/>
  <c r="R31" i="15" s="1"/>
  <c r="W32" i="15"/>
  <c r="Q32" i="15" s="1"/>
  <c r="R32" i="15" s="1"/>
  <c r="Q27" i="13"/>
  <c r="Q26" i="13"/>
  <c r="R26" i="13" s="1"/>
  <c r="Q25" i="13"/>
  <c r="Q28" i="13"/>
  <c r="Q24" i="13"/>
  <c r="R24" i="13" s="1"/>
  <c r="Q29" i="13"/>
  <c r="R29" i="13" s="1"/>
  <c r="A34" i="17"/>
  <c r="A53" i="17"/>
  <c r="C48" i="17"/>
  <c r="Q26" i="17"/>
  <c r="R26" i="17" s="1"/>
  <c r="Q23" i="17"/>
  <c r="R23" i="17" s="1"/>
  <c r="Q22" i="17"/>
  <c r="R22" i="17" s="1"/>
  <c r="Q21" i="17"/>
  <c r="R21" i="17" s="1"/>
  <c r="Q20" i="17"/>
  <c r="R20" i="17" s="1"/>
  <c r="Q19" i="17"/>
  <c r="R19" i="17" s="1"/>
  <c r="Q18" i="17"/>
  <c r="R18" i="17" s="1"/>
  <c r="Q17" i="17"/>
  <c r="R17" i="17" s="1"/>
  <c r="Q16" i="17"/>
  <c r="R16" i="17" s="1"/>
  <c r="R15" i="17"/>
  <c r="Q14" i="17"/>
  <c r="R14" i="17" s="1"/>
  <c r="Q13" i="17"/>
  <c r="R13" i="17" s="1"/>
  <c r="Q12" i="17"/>
  <c r="R12" i="17" s="1"/>
  <c r="A6" i="17"/>
  <c r="A5" i="17"/>
  <c r="Q22" i="14"/>
  <c r="R22" i="14" s="1"/>
  <c r="Q31" i="11"/>
  <c r="Q14" i="13"/>
  <c r="R14" i="13" s="1"/>
  <c r="S14" i="13" s="1"/>
  <c r="Q15" i="13"/>
  <c r="R15" i="13" s="1"/>
  <c r="Q16" i="13"/>
  <c r="R16" i="13" s="1"/>
  <c r="S16" i="13" s="1"/>
  <c r="Q17" i="13"/>
  <c r="R17" i="13" s="1"/>
  <c r="S17" i="13" s="1"/>
  <c r="Q18" i="13"/>
  <c r="R18" i="13" s="1"/>
  <c r="Q19" i="13"/>
  <c r="R19" i="13" s="1"/>
  <c r="Q20" i="13"/>
  <c r="R20" i="13" s="1"/>
  <c r="Q21" i="13"/>
  <c r="R21" i="13" s="1"/>
  <c r="Q23" i="13"/>
  <c r="R13" i="13"/>
  <c r="S13" i="13" s="1"/>
  <c r="Q12" i="14"/>
  <c r="R12" i="14" s="1"/>
  <c r="W13" i="15"/>
  <c r="Q13" i="15" s="1"/>
  <c r="R13" i="15" s="1"/>
  <c r="W14" i="15"/>
  <c r="Q14" i="15" s="1"/>
  <c r="R14" i="15" s="1"/>
  <c r="W15" i="15"/>
  <c r="Q15" i="15" s="1"/>
  <c r="R15" i="15" s="1"/>
  <c r="W16" i="15"/>
  <c r="Q16" i="15" s="1"/>
  <c r="R16" i="15" s="1"/>
  <c r="W17" i="15"/>
  <c r="Q17" i="15" s="1"/>
  <c r="R17" i="15" s="1"/>
  <c r="W25" i="15"/>
  <c r="Q25" i="15" s="1"/>
  <c r="R25" i="15" s="1"/>
  <c r="W26" i="15"/>
  <c r="Q26" i="15" s="1"/>
  <c r="R26" i="15" s="1"/>
  <c r="W27" i="15"/>
  <c r="Q27" i="15" s="1"/>
  <c r="R27" i="15" s="1"/>
  <c r="W33" i="15"/>
  <c r="Q33" i="15" s="1"/>
  <c r="R33" i="15" s="1"/>
  <c r="W12" i="15"/>
  <c r="Q12" i="15" s="1"/>
  <c r="R12" i="15" s="1"/>
  <c r="Q16" i="16"/>
  <c r="R16" i="16" s="1"/>
  <c r="S16" i="16" s="1"/>
  <c r="Q12" i="16"/>
  <c r="Q38" i="16"/>
  <c r="R38" i="16" s="1"/>
  <c r="S38" i="16" s="1"/>
  <c r="Q13" i="16"/>
  <c r="R13" i="16" s="1"/>
  <c r="S13" i="16" s="1"/>
  <c r="Q14" i="16"/>
  <c r="R14" i="16" s="1"/>
  <c r="S14" i="16" s="1"/>
  <c r="Q15" i="16"/>
  <c r="R15" i="16" s="1"/>
  <c r="S15" i="16" s="1"/>
  <c r="Q18" i="16"/>
  <c r="R18" i="16" s="1"/>
  <c r="S18" i="16" s="1"/>
  <c r="Q19" i="16"/>
  <c r="R19" i="16" s="1"/>
  <c r="S19" i="16" s="1"/>
  <c r="Q20" i="16"/>
  <c r="R20" i="16" s="1"/>
  <c r="S20" i="16" s="1"/>
  <c r="Q21" i="16"/>
  <c r="R21" i="16" s="1"/>
  <c r="S21" i="16" s="1"/>
  <c r="Q22" i="16"/>
  <c r="R22" i="16" s="1"/>
  <c r="S22" i="16" s="1"/>
  <c r="Q23" i="16"/>
  <c r="R23" i="16" s="1"/>
  <c r="S23" i="16" s="1"/>
  <c r="Q24" i="16"/>
  <c r="R24" i="16" s="1"/>
  <c r="S24" i="16" s="1"/>
  <c r="Q25" i="16"/>
  <c r="R25" i="16" s="1"/>
  <c r="S25" i="16" s="1"/>
  <c r="Q26" i="16"/>
  <c r="R26" i="16" s="1"/>
  <c r="S26" i="16" s="1"/>
  <c r="Q27" i="16"/>
  <c r="R27" i="16" s="1"/>
  <c r="S27" i="16" s="1"/>
  <c r="Q28" i="16"/>
  <c r="R28" i="16" s="1"/>
  <c r="S28" i="16" s="1"/>
  <c r="Q30" i="16"/>
  <c r="R30" i="16" s="1"/>
  <c r="S30" i="16" s="1"/>
  <c r="Q31" i="16"/>
  <c r="R31" i="16" s="1"/>
  <c r="S31" i="16" s="1"/>
  <c r="Q32" i="16"/>
  <c r="R32" i="16" s="1"/>
  <c r="S32" i="16" s="1"/>
  <c r="S34" i="16"/>
  <c r="Q35" i="16"/>
  <c r="R35" i="16" s="1"/>
  <c r="S35" i="16" s="1"/>
  <c r="Q36" i="16"/>
  <c r="R36" i="16" s="1"/>
  <c r="S36" i="16" s="1"/>
  <c r="Q37" i="16"/>
  <c r="R37" i="16" s="1"/>
  <c r="S37" i="16" s="1"/>
  <c r="Q12" i="10"/>
  <c r="R12" i="10" s="1"/>
  <c r="Q13" i="11"/>
  <c r="R13" i="11" s="1"/>
  <c r="S13" i="11" s="1"/>
  <c r="Q14" i="11"/>
  <c r="R14" i="11" s="1"/>
  <c r="S14" i="11" s="1"/>
  <c r="Q15" i="11"/>
  <c r="R15" i="11" s="1"/>
  <c r="S15" i="11" s="1"/>
  <c r="Q16" i="11"/>
  <c r="R16" i="11" s="1"/>
  <c r="S16" i="11" s="1"/>
  <c r="Q17" i="11"/>
  <c r="R17" i="11" s="1"/>
  <c r="S17" i="11" s="1"/>
  <c r="Q18" i="11"/>
  <c r="R18" i="11" s="1"/>
  <c r="S18" i="11" s="1"/>
  <c r="Q19" i="11"/>
  <c r="R19" i="11" s="1"/>
  <c r="S19" i="11" s="1"/>
  <c r="Q20" i="11"/>
  <c r="R20" i="11" s="1"/>
  <c r="S20" i="11" s="1"/>
  <c r="R21" i="11"/>
  <c r="S21" i="11" s="1"/>
  <c r="Q22" i="11"/>
  <c r="R22" i="11" s="1"/>
  <c r="S22" i="11" s="1"/>
  <c r="Q23" i="11"/>
  <c r="R23" i="11" s="1"/>
  <c r="S23" i="11" s="1"/>
  <c r="Q24" i="11"/>
  <c r="R24" i="11" s="1"/>
  <c r="S24" i="11" s="1"/>
  <c r="Q25" i="11"/>
  <c r="R25" i="11" s="1"/>
  <c r="S25" i="11" s="1"/>
  <c r="Q26" i="11"/>
  <c r="R26" i="11" s="1"/>
  <c r="S26" i="11" s="1"/>
  <c r="Q27" i="11"/>
  <c r="R27" i="11" s="1"/>
  <c r="S27" i="11" s="1"/>
  <c r="Q28" i="11"/>
  <c r="R28" i="11" s="1"/>
  <c r="S28" i="11" s="1"/>
  <c r="Q29" i="11"/>
  <c r="R29" i="11" s="1"/>
  <c r="S29" i="11" s="1"/>
  <c r="R30" i="11"/>
  <c r="S30" i="11" s="1"/>
  <c r="Q12" i="11"/>
  <c r="C47" i="15"/>
  <c r="F14" i="1" s="1"/>
  <c r="B44" i="13"/>
  <c r="E15" i="1" s="1"/>
  <c r="B43" i="14"/>
  <c r="E16" i="1" s="1"/>
  <c r="Q13" i="14"/>
  <c r="R13" i="14" s="1"/>
  <c r="Q14" i="14"/>
  <c r="R14" i="14" s="1"/>
  <c r="Q15" i="14"/>
  <c r="R15" i="14" s="1"/>
  <c r="Q16" i="14"/>
  <c r="R16" i="14" s="1"/>
  <c r="Q17" i="14"/>
  <c r="R17" i="14" s="1"/>
  <c r="Q18" i="14"/>
  <c r="R18" i="14" s="1"/>
  <c r="Q19" i="14"/>
  <c r="R19" i="14" s="1"/>
  <c r="Q20" i="14"/>
  <c r="R20" i="14" s="1"/>
  <c r="Q21" i="14"/>
  <c r="R21" i="14" s="1"/>
  <c r="Q23" i="14"/>
  <c r="R23" i="14" s="1"/>
  <c r="Q24" i="14"/>
  <c r="R24" i="14" s="1"/>
  <c r="Q25" i="14"/>
  <c r="R25" i="14" s="1"/>
  <c r="B47" i="15"/>
  <c r="E14" i="1" s="1"/>
  <c r="R37" i="10"/>
  <c r="S37" i="10" s="1"/>
  <c r="R36" i="10"/>
  <c r="S36" i="10" s="1"/>
  <c r="R35" i="10"/>
  <c r="S35" i="10" s="1"/>
  <c r="R26" i="10"/>
  <c r="S26" i="10" s="1"/>
  <c r="R25" i="10"/>
  <c r="S25" i="10" s="1"/>
  <c r="R24" i="10"/>
  <c r="S24" i="10" s="1"/>
  <c r="R23" i="10"/>
  <c r="S23" i="10" s="1"/>
  <c r="R22" i="10"/>
  <c r="S22" i="10" s="1"/>
  <c r="R21" i="10"/>
  <c r="S21" i="10" s="1"/>
  <c r="R19" i="10"/>
  <c r="S19" i="10" s="1"/>
  <c r="R16" i="10"/>
  <c r="S16" i="10" s="1"/>
  <c r="R15" i="10"/>
  <c r="S15" i="10" s="1"/>
  <c r="R14" i="10"/>
  <c r="S14" i="10" s="1"/>
  <c r="R13" i="10"/>
  <c r="R40" i="10"/>
  <c r="R20" i="10"/>
  <c r="S20" i="10" s="1"/>
  <c r="Q17" i="16"/>
  <c r="R17" i="16" s="1"/>
  <c r="S17" i="16" s="1"/>
  <c r="Q29" i="16"/>
  <c r="R29" i="16" s="1"/>
  <c r="S29" i="16" s="1"/>
  <c r="A8" i="14"/>
  <c r="R39" i="10"/>
  <c r="R38" i="10"/>
  <c r="A10" i="5"/>
  <c r="T18" i="10" l="1"/>
  <c r="T27" i="15"/>
  <c r="T17" i="10"/>
  <c r="T23" i="15"/>
  <c r="T21" i="15"/>
  <c r="T20" i="15"/>
  <c r="T22" i="15"/>
  <c r="E17" i="1"/>
  <c r="B12" i="4" s="1"/>
  <c r="D43" i="18"/>
  <c r="F40" i="18" s="1"/>
  <c r="E43" i="18"/>
  <c r="G40" i="18" s="1"/>
  <c r="E19" i="1"/>
  <c r="C31" i="3" s="1"/>
  <c r="F19" i="1"/>
  <c r="D31" i="3" s="1"/>
  <c r="S14" i="3"/>
  <c r="C14" i="3"/>
  <c r="E23" i="1"/>
  <c r="F23" i="1"/>
  <c r="S13" i="10"/>
  <c r="T33" i="10"/>
  <c r="S13" i="3"/>
  <c r="C13" i="3"/>
  <c r="T13" i="3"/>
  <c r="D13" i="3"/>
  <c r="S15" i="3"/>
  <c r="C15" i="3"/>
  <c r="S12" i="10"/>
  <c r="T29" i="10"/>
  <c r="T28" i="10"/>
  <c r="T34" i="10"/>
  <c r="T32" i="10"/>
  <c r="T30" i="10"/>
  <c r="T27" i="10"/>
  <c r="T31" i="10"/>
  <c r="T18" i="15"/>
  <c r="T19" i="15"/>
  <c r="T24" i="15"/>
  <c r="T25" i="17"/>
  <c r="T24" i="17"/>
  <c r="S24" i="17"/>
  <c r="S32" i="15"/>
  <c r="T32" i="15"/>
  <c r="T31" i="15"/>
  <c r="S31" i="15"/>
  <c r="T30" i="15"/>
  <c r="S30" i="15"/>
  <c r="T29" i="15"/>
  <c r="S29" i="15"/>
  <c r="T28" i="15"/>
  <c r="S28" i="15"/>
  <c r="R25" i="13"/>
  <c r="S25" i="13" s="1"/>
  <c r="R23" i="13"/>
  <c r="S23" i="13" s="1"/>
  <c r="S26" i="13"/>
  <c r="S19" i="17"/>
  <c r="T19" i="17"/>
  <c r="T16" i="17"/>
  <c r="S16" i="17"/>
  <c r="T20" i="17"/>
  <c r="S20" i="17"/>
  <c r="S26" i="17"/>
  <c r="T26" i="17"/>
  <c r="S14" i="17"/>
  <c r="T14" i="17"/>
  <c r="T12" i="17"/>
  <c r="S12" i="17"/>
  <c r="S15" i="17"/>
  <c r="T15" i="17"/>
  <c r="T17" i="17"/>
  <c r="T21" i="17"/>
  <c r="S23" i="17"/>
  <c r="T23" i="17"/>
  <c r="S13" i="17"/>
  <c r="T13" i="17"/>
  <c r="T18" i="17"/>
  <c r="S18" i="17"/>
  <c r="T22" i="17"/>
  <c r="S22" i="17"/>
  <c r="S17" i="17"/>
  <c r="S21" i="17"/>
  <c r="R31" i="11"/>
  <c r="S31" i="11" s="1"/>
  <c r="S24" i="14"/>
  <c r="S21" i="13"/>
  <c r="S15" i="13"/>
  <c r="S20" i="13"/>
  <c r="S29" i="13"/>
  <c r="S19" i="13"/>
  <c r="S24" i="13"/>
  <c r="S18" i="13"/>
  <c r="T35" i="10"/>
  <c r="T15" i="10"/>
  <c r="T22" i="10"/>
  <c r="T36" i="10"/>
  <c r="T16" i="10"/>
  <c r="T23" i="10"/>
  <c r="T37" i="10"/>
  <c r="T24" i="10"/>
  <c r="T12" i="10"/>
  <c r="T38" i="10"/>
  <c r="S38" i="10"/>
  <c r="T19" i="10"/>
  <c r="T25" i="10"/>
  <c r="T39" i="10"/>
  <c r="S39" i="10"/>
  <c r="T13" i="10"/>
  <c r="T20" i="10"/>
  <c r="T26" i="10"/>
  <c r="T40" i="10"/>
  <c r="S40" i="10"/>
  <c r="T14" i="10"/>
  <c r="T21" i="10"/>
  <c r="S20" i="14"/>
  <c r="S16" i="14"/>
  <c r="S12" i="14"/>
  <c r="S21" i="14"/>
  <c r="S25" i="14"/>
  <c r="S17" i="14"/>
  <c r="S23" i="14"/>
  <c r="S13" i="14"/>
  <c r="S18" i="14"/>
  <c r="S14" i="14"/>
  <c r="S19" i="14"/>
  <c r="S15" i="14"/>
  <c r="T16" i="15"/>
  <c r="S16" i="15"/>
  <c r="T12" i="15"/>
  <c r="S12" i="15"/>
  <c r="T17" i="15"/>
  <c r="S17" i="15"/>
  <c r="T13" i="15"/>
  <c r="S13" i="15"/>
  <c r="T25" i="15"/>
  <c r="S25" i="15"/>
  <c r="S26" i="15"/>
  <c r="T26" i="15"/>
  <c r="T14" i="15"/>
  <c r="S14" i="15"/>
  <c r="S27" i="15"/>
  <c r="T15" i="15"/>
  <c r="S15" i="15"/>
  <c r="T33" i="15"/>
  <c r="S33" i="15"/>
  <c r="A5" i="4"/>
  <c r="A5" i="3"/>
  <c r="A5" i="10"/>
  <c r="A5" i="16"/>
  <c r="A5" i="15"/>
  <c r="A5" i="14"/>
  <c r="A5" i="13"/>
  <c r="A7" i="5"/>
  <c r="A55" i="11"/>
  <c r="A58" i="16"/>
  <c r="A51" i="15"/>
  <c r="A47" i="14"/>
  <c r="A49" i="13"/>
  <c r="T49" i="3" l="1"/>
  <c r="D49" i="3"/>
  <c r="S49" i="3"/>
  <c r="C49" i="3"/>
  <c r="R48" i="17"/>
  <c r="U23" i="1" s="1"/>
  <c r="N48" i="17"/>
  <c r="Q22" i="1" s="1"/>
  <c r="N13" i="4" s="1"/>
  <c r="J48" i="17"/>
  <c r="M22" i="1" s="1"/>
  <c r="J13" i="4" s="1"/>
  <c r="F48" i="17"/>
  <c r="Q48" i="17"/>
  <c r="T22" i="1" s="1"/>
  <c r="Q13" i="4" s="1"/>
  <c r="I48" i="17"/>
  <c r="L22" i="1" s="1"/>
  <c r="J48" i="3" s="1"/>
  <c r="P48" i="17"/>
  <c r="S22" i="1" s="1"/>
  <c r="P13" i="4" s="1"/>
  <c r="L48" i="17"/>
  <c r="O22" i="1" s="1"/>
  <c r="O48" i="17"/>
  <c r="R22" i="1" s="1"/>
  <c r="O13" i="4" s="1"/>
  <c r="K48" i="17"/>
  <c r="N22" i="1" s="1"/>
  <c r="M48" i="17"/>
  <c r="P22" i="1" s="1"/>
  <c r="M13" i="4" s="1"/>
  <c r="H48" i="17"/>
  <c r="K22" i="1" s="1"/>
  <c r="H13" i="4" s="1"/>
  <c r="S48" i="17"/>
  <c r="G48" i="17"/>
  <c r="P47" i="15"/>
  <c r="S16" i="1" s="1"/>
  <c r="N47" i="15"/>
  <c r="Q16" i="1" s="1"/>
  <c r="R47" i="15"/>
  <c r="U14" i="1" s="1"/>
  <c r="Q47" i="15"/>
  <c r="T16" i="1" s="1"/>
  <c r="M47" i="15"/>
  <c r="P16" i="1" s="1"/>
  <c r="I47" i="15"/>
  <c r="L16" i="1" s="1"/>
  <c r="H47" i="15"/>
  <c r="K16" i="1" s="1"/>
  <c r="K47" i="15"/>
  <c r="N16" i="1" s="1"/>
  <c r="J47" i="15"/>
  <c r="M16" i="1" s="1"/>
  <c r="L47" i="15"/>
  <c r="O16" i="1" s="1"/>
  <c r="F47" i="15"/>
  <c r="I14" i="1" s="1"/>
  <c r="S47" i="15"/>
  <c r="V14" i="1" s="1"/>
  <c r="O47" i="15"/>
  <c r="R16" i="1" s="1"/>
  <c r="J31" i="4"/>
  <c r="O56" i="16"/>
  <c r="P53" i="11" s="1"/>
  <c r="P57" i="10" s="1"/>
  <c r="O55" i="16"/>
  <c r="P52" i="11" s="1"/>
  <c r="P56" i="10" s="1"/>
  <c r="J72" i="3" s="1"/>
  <c r="J30" i="4" s="1"/>
  <c r="P47" i="14"/>
  <c r="M20" i="5"/>
  <c r="M19" i="5"/>
  <c r="N68" i="1"/>
  <c r="O45" i="18" s="1"/>
  <c r="N69" i="1"/>
  <c r="O46" i="18" s="1"/>
  <c r="A6" i="4"/>
  <c r="A6" i="3"/>
  <c r="A6" i="10"/>
  <c r="A6" i="16"/>
  <c r="A6" i="15"/>
  <c r="A6" i="14"/>
  <c r="A6" i="13"/>
  <c r="A8" i="5"/>
  <c r="R12" i="16"/>
  <c r="T21" i="16" s="1"/>
  <c r="C43" i="14"/>
  <c r="F16" i="1" s="1"/>
  <c r="C44" i="13"/>
  <c r="F15" i="1" s="1"/>
  <c r="C50" i="11"/>
  <c r="B50" i="11"/>
  <c r="R12" i="11"/>
  <c r="S12" i="11" s="1"/>
  <c r="C55" i="10"/>
  <c r="B55" i="10"/>
  <c r="E49" i="3"/>
  <c r="F49" i="3"/>
  <c r="I49" i="3"/>
  <c r="J49" i="3"/>
  <c r="K49" i="3"/>
  <c r="L49" i="3"/>
  <c r="M49" i="3"/>
  <c r="N49" i="3"/>
  <c r="O49" i="3"/>
  <c r="P49" i="3"/>
  <c r="Q49" i="3"/>
  <c r="R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S29" i="1"/>
  <c r="P16" i="4" s="1"/>
  <c r="T29" i="1"/>
  <c r="Q16" i="4" s="1"/>
  <c r="V23" i="1" l="1"/>
  <c r="V25" i="1" s="1"/>
  <c r="F13" i="4"/>
  <c r="I23" i="1"/>
  <c r="G49" i="3" s="1"/>
  <c r="G13" i="4"/>
  <c r="J23" i="1"/>
  <c r="H49" i="3" s="1"/>
  <c r="F17" i="1"/>
  <c r="E20" i="1"/>
  <c r="C32" i="3" s="1"/>
  <c r="F20" i="1"/>
  <c r="D32" i="3" s="1"/>
  <c r="D14" i="3"/>
  <c r="T14" i="3"/>
  <c r="T15" i="3"/>
  <c r="D15" i="3"/>
  <c r="E18" i="1"/>
  <c r="C30" i="3" s="1"/>
  <c r="F18" i="1"/>
  <c r="D30" i="3" s="1"/>
  <c r="T34" i="16"/>
  <c r="U25" i="1"/>
  <c r="T25" i="1"/>
  <c r="Q15" i="4" s="1"/>
  <c r="K48" i="3"/>
  <c r="R48" i="3"/>
  <c r="T33" i="16"/>
  <c r="S12" i="16"/>
  <c r="I53" i="16" s="1"/>
  <c r="T35" i="11"/>
  <c r="T34" i="11"/>
  <c r="O47" i="13"/>
  <c r="O51" i="17"/>
  <c r="O46" i="13"/>
  <c r="P46" i="14" s="1"/>
  <c r="O50" i="17"/>
  <c r="O48" i="3"/>
  <c r="S25" i="1"/>
  <c r="P15" i="4" s="1"/>
  <c r="P48" i="3"/>
  <c r="G48" i="3"/>
  <c r="N48" i="3"/>
  <c r="G22" i="1"/>
  <c r="E48" i="3" s="1"/>
  <c r="L13" i="4"/>
  <c r="Q48" i="3"/>
  <c r="M48" i="3"/>
  <c r="I48" i="3"/>
  <c r="N25" i="1"/>
  <c r="K13" i="4"/>
  <c r="H22" i="1"/>
  <c r="I13" i="4"/>
  <c r="L48" i="3"/>
  <c r="H48" i="3"/>
  <c r="T33" i="11"/>
  <c r="T32" i="11"/>
  <c r="D48" i="17"/>
  <c r="F45" i="17" s="1"/>
  <c r="E48" i="17"/>
  <c r="G45" i="17" s="1"/>
  <c r="T38" i="16"/>
  <c r="T32" i="16"/>
  <c r="T26" i="16"/>
  <c r="T18" i="16"/>
  <c r="T16" i="16"/>
  <c r="T35" i="16"/>
  <c r="T24" i="16"/>
  <c r="T28" i="16"/>
  <c r="T29" i="16"/>
  <c r="T37" i="16"/>
  <c r="T17" i="16"/>
  <c r="T25" i="16"/>
  <c r="T30" i="16"/>
  <c r="T15" i="16"/>
  <c r="T27" i="16"/>
  <c r="T31" i="16"/>
  <c r="T14" i="16"/>
  <c r="T36" i="16"/>
  <c r="T23" i="16"/>
  <c r="T13" i="16"/>
  <c r="T22" i="16"/>
  <c r="T20" i="16"/>
  <c r="T19" i="16"/>
  <c r="J73" i="3"/>
  <c r="S15" i="4" l="1"/>
  <c r="S13" i="4"/>
  <c r="F21" i="1"/>
  <c r="C14" i="4" s="1"/>
  <c r="R15" i="4"/>
  <c r="R13" i="4"/>
  <c r="E13" i="4"/>
  <c r="F48" i="3"/>
  <c r="D13" i="4"/>
  <c r="L18" i="1"/>
  <c r="K53" i="16"/>
  <c r="N18" i="1" s="1"/>
  <c r="L30" i="3" s="1"/>
  <c r="M53" i="16"/>
  <c r="P18" i="1" s="1"/>
  <c r="N30" i="3" s="1"/>
  <c r="T12" i="16"/>
  <c r="S53" i="16"/>
  <c r="V19" i="1" s="1"/>
  <c r="R53" i="16"/>
  <c r="U19" i="1" s="1"/>
  <c r="F53" i="16"/>
  <c r="I19" i="1" s="1"/>
  <c r="Q53" i="16"/>
  <c r="P53" i="16"/>
  <c r="O53" i="16"/>
  <c r="R18" i="1" s="1"/>
  <c r="N53" i="16"/>
  <c r="Q18" i="1" s="1"/>
  <c r="L53" i="16"/>
  <c r="O18" i="1" s="1"/>
  <c r="J53" i="16"/>
  <c r="H53" i="16"/>
  <c r="G53" i="16"/>
  <c r="J19" i="1" s="1"/>
  <c r="G47" i="15"/>
  <c r="J14" i="1" s="1"/>
  <c r="R15" i="3"/>
  <c r="Q15" i="3"/>
  <c r="P15" i="3"/>
  <c r="O15" i="3"/>
  <c r="N15" i="3"/>
  <c r="M15" i="3"/>
  <c r="L15" i="3"/>
  <c r="K15" i="3"/>
  <c r="J15" i="3"/>
  <c r="I15" i="3"/>
  <c r="S55" i="10"/>
  <c r="V18" i="1" s="1"/>
  <c r="G55" i="10"/>
  <c r="R55" i="10"/>
  <c r="U18" i="1" s="1"/>
  <c r="F55" i="10"/>
  <c r="I18" i="1" s="1"/>
  <c r="Q55" i="10"/>
  <c r="P55" i="10"/>
  <c r="O55" i="10"/>
  <c r="N55" i="10"/>
  <c r="M55" i="10"/>
  <c r="L55" i="10"/>
  <c r="K55" i="10"/>
  <c r="J55" i="10"/>
  <c r="I55" i="10"/>
  <c r="H55" i="10"/>
  <c r="F29" i="1"/>
  <c r="C16" i="4" s="1"/>
  <c r="G29" i="1"/>
  <c r="D16" i="4" s="1"/>
  <c r="H29" i="1"/>
  <c r="E16" i="4" s="1"/>
  <c r="I29" i="1"/>
  <c r="F16" i="4" s="1"/>
  <c r="J29" i="1"/>
  <c r="G16" i="4" s="1"/>
  <c r="K29" i="1"/>
  <c r="H16" i="4" s="1"/>
  <c r="L29" i="1"/>
  <c r="I16" i="4" s="1"/>
  <c r="M29" i="1"/>
  <c r="J16" i="4" s="1"/>
  <c r="N29" i="1"/>
  <c r="K16" i="4" s="1"/>
  <c r="O29" i="1"/>
  <c r="L16" i="4" s="1"/>
  <c r="P29" i="1"/>
  <c r="M16" i="4" s="1"/>
  <c r="Q29" i="1"/>
  <c r="N16" i="4" s="1"/>
  <c r="R29" i="1"/>
  <c r="O16" i="4" s="1"/>
  <c r="U29" i="1"/>
  <c r="R16" i="4" s="1"/>
  <c r="V29" i="1"/>
  <c r="S16" i="4" s="1"/>
  <c r="F25" i="1"/>
  <c r="G25" i="1"/>
  <c r="H25" i="1"/>
  <c r="I25" i="1"/>
  <c r="F15" i="4" s="1"/>
  <c r="J25" i="1"/>
  <c r="G15" i="4" s="1"/>
  <c r="K25" i="1"/>
  <c r="H15" i="4" s="1"/>
  <c r="L25" i="1"/>
  <c r="I15" i="4" s="1"/>
  <c r="M25" i="1"/>
  <c r="J15" i="4" s="1"/>
  <c r="K15" i="4"/>
  <c r="O25" i="1"/>
  <c r="L15" i="4" s="1"/>
  <c r="P25" i="1"/>
  <c r="M15" i="4" s="1"/>
  <c r="Q25" i="1"/>
  <c r="N15" i="4" s="1"/>
  <c r="R25" i="1"/>
  <c r="O15" i="4" s="1"/>
  <c r="C12" i="4"/>
  <c r="E29" i="1"/>
  <c r="B16" i="4" s="1"/>
  <c r="E25" i="1"/>
  <c r="E21" i="1"/>
  <c r="B14" i="4" s="1"/>
  <c r="B13" i="4" l="1"/>
  <c r="E30" i="1"/>
  <c r="B16" i="5" s="1"/>
  <c r="E15" i="4"/>
  <c r="D15" i="4"/>
  <c r="J18" i="1"/>
  <c r="H30" i="3" s="1"/>
  <c r="G30" i="3"/>
  <c r="C15" i="4"/>
  <c r="C13" i="4"/>
  <c r="J30" i="3"/>
  <c r="B15" i="4"/>
  <c r="T20" i="1"/>
  <c r="R32" i="3" s="1"/>
  <c r="T30" i="3"/>
  <c r="N20" i="1"/>
  <c r="L32" i="3" s="1"/>
  <c r="M20" i="1"/>
  <c r="K32" i="3" s="1"/>
  <c r="O20" i="1"/>
  <c r="M32" i="3" s="1"/>
  <c r="P20" i="1"/>
  <c r="Q20" i="1"/>
  <c r="O32" i="3" s="1"/>
  <c r="K18" i="1"/>
  <c r="S18" i="1"/>
  <c r="R20" i="1"/>
  <c r="P32" i="3" s="1"/>
  <c r="T18" i="1"/>
  <c r="H18" i="1" s="1"/>
  <c r="L20" i="1"/>
  <c r="K20" i="1"/>
  <c r="S20" i="1"/>
  <c r="Q32" i="3" s="1"/>
  <c r="M18" i="1"/>
  <c r="P30" i="3"/>
  <c r="E53" i="16"/>
  <c r="O30" i="3"/>
  <c r="M30" i="3"/>
  <c r="D53" i="16"/>
  <c r="D47" i="15"/>
  <c r="E47" i="15"/>
  <c r="E55" i="10"/>
  <c r="D55" i="10"/>
  <c r="F30" i="1"/>
  <c r="C16" i="5" s="1"/>
  <c r="I30" i="3" l="1"/>
  <c r="G18" i="1"/>
  <c r="I32" i="3"/>
  <c r="G20" i="1"/>
  <c r="E32" i="3" s="1"/>
  <c r="H20" i="1"/>
  <c r="F32" i="3" s="1"/>
  <c r="S30" i="3"/>
  <c r="R30" i="3"/>
  <c r="Q30" i="3"/>
  <c r="K30" i="3"/>
  <c r="J32" i="3"/>
  <c r="N32" i="3"/>
  <c r="F52" i="10"/>
  <c r="G52" i="10"/>
  <c r="F50" i="16"/>
  <c r="G50" i="16"/>
  <c r="F30" i="3"/>
  <c r="G44" i="15"/>
  <c r="F15" i="3"/>
  <c r="F44" i="15"/>
  <c r="E15" i="3"/>
  <c r="E30" i="3" l="1"/>
  <c r="T22" i="14" l="1"/>
  <c r="T12" i="14"/>
  <c r="T14" i="14"/>
  <c r="T13" i="14"/>
  <c r="T16" i="14"/>
  <c r="T19" i="14"/>
  <c r="T17" i="14"/>
  <c r="T23" i="14"/>
  <c r="S22" i="14"/>
  <c r="I43" i="14" s="1"/>
  <c r="T21" i="14"/>
  <c r="T25" i="14"/>
  <c r="T20" i="14"/>
  <c r="T18" i="14"/>
  <c r="T24" i="14"/>
  <c r="T15" i="14"/>
  <c r="L43" i="14" l="1"/>
  <c r="O15" i="1" s="1"/>
  <c r="P43" i="14"/>
  <c r="S15" i="1" s="1"/>
  <c r="S43" i="14"/>
  <c r="V16" i="1" s="1"/>
  <c r="Q43" i="14"/>
  <c r="T15" i="1" s="1"/>
  <c r="M43" i="14"/>
  <c r="P15" i="1" s="1"/>
  <c r="J43" i="14"/>
  <c r="M15" i="1" s="1"/>
  <c r="F43" i="14"/>
  <c r="I16" i="1" s="1"/>
  <c r="G15" i="3" s="1"/>
  <c r="H43" i="14"/>
  <c r="R43" i="14"/>
  <c r="U16" i="1" s="1"/>
  <c r="K43" i="14"/>
  <c r="N15" i="1" s="1"/>
  <c r="N43" i="14"/>
  <c r="Q15" i="1" s="1"/>
  <c r="G43" i="14"/>
  <c r="J16" i="1" s="1"/>
  <c r="H15" i="3" s="1"/>
  <c r="O43" i="14"/>
  <c r="R15" i="1" s="1"/>
  <c r="K14" i="3" l="1"/>
  <c r="N14" i="3"/>
  <c r="R14" i="3"/>
  <c r="L14" i="3"/>
  <c r="Q14" i="3"/>
  <c r="L15" i="1"/>
  <c r="E43" i="14"/>
  <c r="G40" i="14" s="1"/>
  <c r="P14" i="3"/>
  <c r="O14" i="3"/>
  <c r="D43" i="14"/>
  <c r="F40" i="14" s="1"/>
  <c r="K15" i="1"/>
  <c r="M14" i="3"/>
  <c r="I14" i="3" l="1"/>
  <c r="J14" i="3"/>
  <c r="F14" i="3" l="1"/>
  <c r="E14" i="3"/>
  <c r="R28" i="13"/>
  <c r="S28" i="13" s="1"/>
  <c r="R27" i="13"/>
  <c r="T22" i="13" l="1"/>
  <c r="T12" i="13"/>
  <c r="T21" i="13"/>
  <c r="T19" i="13"/>
  <c r="T13" i="13"/>
  <c r="S27" i="13"/>
  <c r="I44" i="13" s="1"/>
  <c r="T14" i="13"/>
  <c r="T25" i="13"/>
  <c r="T16" i="13"/>
  <c r="T15" i="13"/>
  <c r="T24" i="13"/>
  <c r="T17" i="13"/>
  <c r="T26" i="13"/>
  <c r="T20" i="13"/>
  <c r="T27" i="13"/>
  <c r="T28" i="13"/>
  <c r="T23" i="13"/>
  <c r="T18" i="13"/>
  <c r="T29" i="13"/>
  <c r="P44" i="13" l="1"/>
  <c r="S14" i="1" s="1"/>
  <c r="Q13" i="3" s="1"/>
  <c r="M44" i="13"/>
  <c r="P14" i="1" s="1"/>
  <c r="P17" i="1" s="1"/>
  <c r="S44" i="13"/>
  <c r="V15" i="1" s="1"/>
  <c r="R44" i="13"/>
  <c r="N44" i="13"/>
  <c r="Q14" i="1" s="1"/>
  <c r="O13" i="3" s="1"/>
  <c r="F44" i="13"/>
  <c r="I15" i="1" s="1"/>
  <c r="G14" i="3" s="1"/>
  <c r="G44" i="13"/>
  <c r="J15" i="1" s="1"/>
  <c r="H14" i="3" s="1"/>
  <c r="K44" i="13"/>
  <c r="N14" i="1" s="1"/>
  <c r="H44" i="13"/>
  <c r="K14" i="1" s="1"/>
  <c r="K17" i="1" s="1"/>
  <c r="Q44" i="13"/>
  <c r="T14" i="1" s="1"/>
  <c r="R13" i="3" s="1"/>
  <c r="O44" i="13"/>
  <c r="R14" i="1" s="1"/>
  <c r="R17" i="1" s="1"/>
  <c r="J44" i="13"/>
  <c r="M14" i="1" s="1"/>
  <c r="M17" i="1" s="1"/>
  <c r="L44" i="13"/>
  <c r="O14" i="1" s="1"/>
  <c r="O17" i="1" s="1"/>
  <c r="L14" i="1"/>
  <c r="L17" i="1" s="1"/>
  <c r="U15" i="1" l="1"/>
  <c r="U17" i="1" s="1"/>
  <c r="R12" i="4" s="1"/>
  <c r="S17" i="1"/>
  <c r="P12" i="4" s="1"/>
  <c r="N13" i="3"/>
  <c r="L13" i="3"/>
  <c r="N17" i="1"/>
  <c r="H13" i="3"/>
  <c r="J17" i="1"/>
  <c r="G12" i="4" s="1"/>
  <c r="G13" i="3"/>
  <c r="I17" i="1"/>
  <c r="F12" i="4" s="1"/>
  <c r="Q17" i="1"/>
  <c r="E44" i="13"/>
  <c r="G41" i="13" s="1"/>
  <c r="P13" i="3"/>
  <c r="T17" i="1"/>
  <c r="K13" i="3"/>
  <c r="M13" i="3"/>
  <c r="D44" i="13"/>
  <c r="F41" i="13" s="1"/>
  <c r="V17" i="1"/>
  <c r="O12" i="4"/>
  <c r="J13" i="3"/>
  <c r="M12" i="4"/>
  <c r="I13" i="3"/>
  <c r="N12" i="4" l="1"/>
  <c r="K12" i="4"/>
  <c r="Q12" i="4"/>
  <c r="G17" i="1"/>
  <c r="S12" i="4"/>
  <c r="L12" i="4"/>
  <c r="H12" i="4"/>
  <c r="I12" i="4"/>
  <c r="F13" i="3" l="1"/>
  <c r="H17" i="1"/>
  <c r="E13" i="3"/>
  <c r="D12" i="4"/>
  <c r="E12" i="4" l="1"/>
  <c r="O50" i="11"/>
  <c r="R19" i="1" s="1"/>
  <c r="S50" i="11"/>
  <c r="K50" i="11"/>
  <c r="N19" i="1" s="1"/>
  <c r="N21" i="1" s="1"/>
  <c r="N30" i="1" s="1"/>
  <c r="L50" i="11"/>
  <c r="O19" i="1" s="1"/>
  <c r="M31" i="3" s="1"/>
  <c r="G50" i="11"/>
  <c r="J20" i="1" s="1"/>
  <c r="H32" i="3" s="1"/>
  <c r="Q50" i="11"/>
  <c r="T19" i="1" s="1"/>
  <c r="T21" i="1" s="1"/>
  <c r="J50" i="11"/>
  <c r="M19" i="1" s="1"/>
  <c r="P50" i="11"/>
  <c r="S19" i="1" s="1"/>
  <c r="Q31" i="3" s="1"/>
  <c r="M50" i="11"/>
  <c r="P19" i="1" s="1"/>
  <c r="I50" i="11"/>
  <c r="L19" i="1" s="1"/>
  <c r="F50" i="11"/>
  <c r="N50" i="11"/>
  <c r="Q19" i="1" s="1"/>
  <c r="H50" i="11"/>
  <c r="K19" i="1" s="1"/>
  <c r="R50" i="11"/>
  <c r="T30" i="11"/>
  <c r="T20" i="11"/>
  <c r="T21" i="11"/>
  <c r="T14" i="11"/>
  <c r="T22" i="11"/>
  <c r="T19" i="11"/>
  <c r="T29" i="11"/>
  <c r="T15" i="11"/>
  <c r="T27" i="11"/>
  <c r="T16" i="11"/>
  <c r="T13" i="11"/>
  <c r="T31" i="11"/>
  <c r="T23" i="11"/>
  <c r="T26" i="11"/>
  <c r="T17" i="11"/>
  <c r="T28" i="11"/>
  <c r="T24" i="11"/>
  <c r="T18" i="11"/>
  <c r="T12" i="11"/>
  <c r="T25" i="11"/>
  <c r="N31" i="1" l="1"/>
  <c r="K16" i="5"/>
  <c r="I20" i="1"/>
  <c r="G32" i="3" s="1"/>
  <c r="U20" i="1"/>
  <c r="S32" i="3" s="1"/>
  <c r="T31" i="3"/>
  <c r="V20" i="1"/>
  <c r="T32" i="3" s="1"/>
  <c r="J21" i="1"/>
  <c r="G14" i="4" s="1"/>
  <c r="H31" i="3"/>
  <c r="N31" i="3"/>
  <c r="P21" i="1"/>
  <c r="M14" i="4" s="1"/>
  <c r="R31" i="3"/>
  <c r="L31" i="3"/>
  <c r="K21" i="1"/>
  <c r="K30" i="1" s="1"/>
  <c r="H16" i="5" s="1"/>
  <c r="I31" i="3"/>
  <c r="G19" i="1"/>
  <c r="G21" i="1" s="1"/>
  <c r="G30" i="1" s="1"/>
  <c r="Q14" i="4"/>
  <c r="T30" i="1"/>
  <c r="Q16" i="5" s="1"/>
  <c r="R21" i="1"/>
  <c r="P31" i="3"/>
  <c r="O31" i="3"/>
  <c r="Q21" i="1"/>
  <c r="K31" i="3"/>
  <c r="M21" i="1"/>
  <c r="J31" i="3"/>
  <c r="H19" i="1"/>
  <c r="L21" i="1"/>
  <c r="K14" i="4"/>
  <c r="V21" i="1"/>
  <c r="S14" i="4" s="1"/>
  <c r="S21" i="1"/>
  <c r="D50" i="11"/>
  <c r="F47" i="11" s="1"/>
  <c r="G31" i="3"/>
  <c r="O21" i="1"/>
  <c r="S31" i="3"/>
  <c r="E50" i="11"/>
  <c r="G47" i="11" s="1"/>
  <c r="U21" i="1" l="1"/>
  <c r="I21" i="1"/>
  <c r="J30" i="1"/>
  <c r="G16" i="5" s="1"/>
  <c r="P30" i="1"/>
  <c r="M16" i="5" s="1"/>
  <c r="I14" i="4"/>
  <c r="L30" i="1"/>
  <c r="I16" i="5" s="1"/>
  <c r="H21" i="1"/>
  <c r="H30" i="1" s="1"/>
  <c r="F31" i="3"/>
  <c r="E31" i="3"/>
  <c r="P14" i="4"/>
  <c r="S30" i="1"/>
  <c r="P16" i="5" s="1"/>
  <c r="R30" i="1"/>
  <c r="O16" i="5" s="1"/>
  <c r="O14" i="4"/>
  <c r="O30" i="1"/>
  <c r="L16" i="5" s="1"/>
  <c r="L14" i="4"/>
  <c r="V30" i="1"/>
  <c r="S16" i="5" s="1"/>
  <c r="J14" i="4"/>
  <c r="Q30" i="1"/>
  <c r="N16" i="5" s="1"/>
  <c r="T31" i="1"/>
  <c r="H14" i="4"/>
  <c r="E16" i="5" l="1"/>
  <c r="I30" i="1"/>
  <c r="F16" i="5" s="1"/>
  <c r="F14" i="4"/>
  <c r="R14" i="4"/>
  <c r="U30" i="1"/>
  <c r="R16" i="5" s="1"/>
  <c r="P31" i="1"/>
  <c r="J31" i="1"/>
  <c r="K31" i="1"/>
  <c r="V31" i="1"/>
  <c r="E14" i="4"/>
  <c r="H31" i="1"/>
  <c r="S31" i="1"/>
  <c r="D14" i="4"/>
  <c r="G31" i="1"/>
  <c r="L31" i="1"/>
  <c r="Q31" i="1"/>
  <c r="O31" i="1"/>
  <c r="R31" i="1"/>
  <c r="U31" i="1" l="1"/>
  <c r="I31" i="1"/>
  <c r="M30" i="1"/>
  <c r="J16" i="5" s="1"/>
  <c r="D16" i="5" s="1"/>
  <c r="J12" i="4"/>
  <c r="M31" i="1" l="1"/>
</calcChain>
</file>

<file path=xl/sharedStrings.xml><?xml version="1.0" encoding="utf-8"?>
<sst xmlns="http://schemas.openxmlformats.org/spreadsheetml/2006/main" count="1577" uniqueCount="535">
  <si>
    <t>ល.រ</t>
  </si>
  <si>
    <t>ឈ្មោះសាលា</t>
  </si>
  <si>
    <t>មុខជំនាញ</t>
  </si>
  <si>
    <t>សរុប</t>
  </si>
  <si>
    <t>ស្រី</t>
  </si>
  <si>
    <t>ឆ្នាំទី</t>
  </si>
  <si>
    <t>សិស្សបានប្រឡង</t>
  </si>
  <si>
    <t>សិស្សជាប់មធ្យមភាគ</t>
  </si>
  <si>
    <t>និទ្ទេស</t>
  </si>
  <si>
    <t>និទ្ទេសA</t>
  </si>
  <si>
    <t>និទ្ទេសB</t>
  </si>
  <si>
    <t>និទ្ទេសC</t>
  </si>
  <si>
    <t>និទ្ទេសD</t>
  </si>
  <si>
    <t>ព្រះរាជាណាចក្រកម្ពុជា</t>
  </si>
  <si>
    <t>ជាតិ សាសនា ព្រះមហាក្សត្រ</t>
  </si>
  <si>
    <t>ក្រសួងអប់រំ យុវជន និងកីឡា</t>
  </si>
  <si>
    <t>អ្នកធ្វើតារាង</t>
  </si>
  <si>
    <t>បានពិនិត្យ និងឯកភាព</t>
  </si>
  <si>
    <t>នាយកសាលា</t>
  </si>
  <si>
    <t>ជាតិ   សាសនា   ព្រះមហាក្សត្រ</t>
  </si>
  <si>
    <t>និងនាម</t>
  </si>
  <si>
    <t>ភេទ</t>
  </si>
  <si>
    <t>បានឃើញ និង ឯកភាព</t>
  </si>
  <si>
    <t>មុខវិជ្ជា</t>
  </si>
  <si>
    <t>មធ្យមភាគ</t>
  </si>
  <si>
    <t xml:space="preserve">គោត្តនាម </t>
  </si>
  <si>
    <t>A</t>
  </si>
  <si>
    <t>B</t>
  </si>
  <si>
    <t>C</t>
  </si>
  <si>
    <t>D</t>
  </si>
  <si>
    <t>F</t>
  </si>
  <si>
    <t>ប</t>
  </si>
  <si>
    <t>ស</t>
  </si>
  <si>
    <t>សរុបលទ្ធផលតាមនិទ្ទេស</t>
  </si>
  <si>
    <t>* បញ្ជាក់</t>
  </si>
  <si>
    <t>ល្អណាស់</t>
  </si>
  <si>
    <t>ល្អ</t>
  </si>
  <si>
    <t>មធ្យម</t>
  </si>
  <si>
    <t>ខ្សោយ</t>
  </si>
  <si>
    <t>សេចក្តីពណ៌នា</t>
  </si>
  <si>
    <t>ជំនាញ</t>
  </si>
  <si>
    <t>E</t>
  </si>
  <si>
    <t>ល្អបង្គួ</t>
  </si>
  <si>
    <t>និទ្ទេសE</t>
  </si>
  <si>
    <t>សរុបមធ្យមភាគជាភាគរយ(%)</t>
  </si>
  <si>
    <t>ចំណាត់ថ្នាក់</t>
  </si>
  <si>
    <t>ខែ</t>
  </si>
  <si>
    <t>អវត្តមាន</t>
  </si>
  <si>
    <t>មានច្បាប់</t>
  </si>
  <si>
    <t>អត់ច្បាប់</t>
  </si>
  <si>
    <t>ថ្ងៃខែឆ្នាំកំណើត</t>
  </si>
  <si>
    <t>លំដាប់ពិន្ទុ</t>
  </si>
  <si>
    <t>ល្អប្រសើរ</t>
  </si>
  <si>
    <t>ខ្មែរ</t>
  </si>
  <si>
    <t>គណិត</t>
  </si>
  <si>
    <t>សិស្សសរុប</t>
  </si>
  <si>
    <t>៣- បញ្ហាប្រឈម</t>
  </si>
  <si>
    <t>៤- ដំណោះស្រាយ</t>
  </si>
  <si>
    <t>៥- សន្និដ្ឋាន</t>
  </si>
  <si>
    <t xml:space="preserve">របាយការណ៍ </t>
  </si>
  <si>
    <t>ស្តីពី</t>
  </si>
  <si>
    <t>អ្នកធ្វើរបាយការណ៍</t>
  </si>
  <si>
    <t>២- ក្រាបលទ្ធផលប្រឡងខែ</t>
  </si>
  <si>
    <t>ឧបសម្ព័ន្ធទី១</t>
  </si>
  <si>
    <t>ឧបសម្ព័ន្ធទី២</t>
  </si>
  <si>
    <t>ឧបសម្ព័ន្ធទី៣</t>
  </si>
  <si>
    <t>សរុបរួម៤ជំនាញ</t>
  </si>
  <si>
    <t>សិស្សបានប្រទ្បង</t>
  </si>
  <si>
    <t>គ</t>
  </si>
  <si>
    <t>ឃ</t>
  </si>
  <si>
    <t xml:space="preserve">* បញ្ជាក់៖ </t>
  </si>
  <si>
    <t>ឧបសម្ព័ន្ធទី៤</t>
  </si>
  <si>
    <t xml:space="preserve">        ក. ក្រាបការប្រៀបធៀបលទ្ធផលប្រទ្បងរបស់សិស្សសម្រាប់ខែចាស់ និងខែថ្មី (ឧបសម្ព័ន្ធទី១)</t>
  </si>
  <si>
    <t>សូមបញ្ចូលទិន្នន័យលទ្ធផលសរុបសម្រាប់ខែចាស់ចូលទៅក្នុងតារាងឧបសម្ព័ន្ធទី១</t>
  </si>
  <si>
    <t xml:space="preserve">       ខ. តារាងពិន្ទុប្រឡងប្រចាំខែ…. (ឧបសម្ព័ន្ធទី២)</t>
  </si>
  <si>
    <t xml:space="preserve">       គ. ក្រាបលទ្ធផលការសិក្សារបស់សិស្សតាមជំនាញនីមួយៗ ប្រចាំខែ…..(ឧបសម្ព័ន្ធទី៣)</t>
  </si>
  <si>
    <t xml:space="preserve">       ឃ. ក្រាបសរុបរួមនៃលទ្ធផលការសិក្សារបស់សិស្សបច្ចេកទេស ប្រចាំខែ…..(ឧបសម្ព័ន្ធទី៤)</t>
  </si>
  <si>
    <t>សិស្សប្រទ្បងជាប់</t>
  </si>
  <si>
    <t>ឧទាហរណ៍៖ ក្រាបលទ្ធផលសរុបរបស់សិស្សតាមជំនាញនីមួយៗ</t>
  </si>
  <si>
    <t>មធ្យមភាគអតិប្បរមា*0.9</t>
  </si>
  <si>
    <t>មធ្យមភាគអតិប្បរមា*0.8</t>
  </si>
  <si>
    <t>មធ្យមភាគអតិប្បរមា*0.7</t>
  </si>
  <si>
    <t>មធ្យមភាគអតិប្បរមា*0.6</t>
  </si>
  <si>
    <t>មធ្យមភាគអតិប្បរមា*0.5</t>
  </si>
  <si>
    <t>&lt;មធ្យមភាគអតិប្បរមា*0.5</t>
  </si>
  <si>
    <t>ផ្សេងៗ</t>
  </si>
  <si>
    <t>សិស្សប្រទ្បងធ្លាក់(F)</t>
  </si>
  <si>
    <t>សិស្សប្រទ្បងធ្លាក់</t>
  </si>
  <si>
    <t>NA</t>
  </si>
  <si>
    <t>សិស្សរៀននៅឆមាសទី…</t>
  </si>
  <si>
    <t>ប្រទ្បងជាប់</t>
  </si>
  <si>
    <t>ប្រទ្បងធ្លាក់(F)</t>
  </si>
  <si>
    <r>
      <rPr>
        <sz val="14"/>
        <color rgb="FFFF0000"/>
        <rFont val="Khmer OS Muol Light"/>
      </rPr>
      <t>***</t>
    </r>
    <r>
      <rPr>
        <sz val="11"/>
        <color theme="1"/>
        <rFont val="Khmer OS Muol Light"/>
      </rPr>
      <t xml:space="preserve"> </t>
    </r>
    <r>
      <rPr>
        <b/>
        <sz val="11"/>
        <color rgb="FFFF0000"/>
        <rFont val="Khmer OS Muol Light"/>
      </rPr>
      <t>NA</t>
    </r>
    <r>
      <rPr>
        <sz val="11"/>
        <color theme="1"/>
        <rFont val="Khmer OS Muol Light"/>
      </rPr>
      <t xml:space="preserve"> </t>
    </r>
    <r>
      <rPr>
        <sz val="11"/>
        <color theme="1"/>
        <rFont val="Khmer OS Siemreap"/>
      </rPr>
      <t>គឺសិស្សមិនបានប្រទ្បងសូម្បី១មុខវិជ្ជា ពិន្ទុសរុបស្មើសូន្យ។</t>
    </r>
  </si>
  <si>
    <r>
      <t xml:space="preserve">សិស្សធ្លាក់មធ្យមភាគ </t>
    </r>
    <r>
      <rPr>
        <b/>
        <sz val="10"/>
        <color rgb="FFFF0000"/>
        <rFont val="Khmer OS Siemreap"/>
      </rPr>
      <t>(F)</t>
    </r>
  </si>
  <si>
    <r>
      <t xml:space="preserve">សិស្សមិនបានប្រទ្បង </t>
    </r>
    <r>
      <rPr>
        <b/>
        <sz val="10"/>
        <color rgb="FFFF0000"/>
        <rFont val="Khmer OS Siemreap"/>
      </rPr>
      <t>(NA)</t>
    </r>
  </si>
  <si>
    <t xml:space="preserve">                ឧទាហរណ៍៖ ការប្រៀបធៀបលទ្ធផលសរុបរបស់សិស្សសម្រាប់ខែ….. និង…...</t>
  </si>
  <si>
    <t xml:space="preserve">       **សំគាល់៖ សិស្សមិនបានប្រឡងគឺសិស្សមិនបានប្រឡងសូម្បីតែមួយមុខវិជ្ជា (NA)</t>
  </si>
  <si>
    <t>រូប​</t>
  </si>
  <si>
    <t>អង់គ្លេស</t>
  </si>
  <si>
    <t>ពលរដ្ឋ</t>
  </si>
  <si>
    <t>កីឡា</t>
  </si>
  <si>
    <t>ទ្រឹស្ដីទី១</t>
  </si>
  <si>
    <t>ទ្រឹស្ដីទី២</t>
  </si>
  <si>
    <t>អនុវត្ត</t>
  </si>
  <si>
    <t>ផ្ទាល់មាត់</t>
  </si>
  <si>
    <t>ជា</t>
  </si>
  <si>
    <t>រ័ត្ន</t>
  </si>
  <si>
    <t>ពិសិទ្ធ</t>
  </si>
  <si>
    <t>ម៉ៅ</t>
  </si>
  <si>
    <t>កែវ</t>
  </si>
  <si>
    <t>ឈួន</t>
  </si>
  <si>
    <t>ណាត់</t>
  </si>
  <si>
    <t>រុន</t>
  </si>
  <si>
    <t>រដ្ឋា</t>
  </si>
  <si>
    <t>សារុន</t>
  </si>
  <si>
    <t>សែន</t>
  </si>
  <si>
    <t>សំណាង</t>
  </si>
  <si>
    <t>លី</t>
  </si>
  <si>
    <t>សុខ</t>
  </si>
  <si>
    <t>១២ កញ្ញា ២០០៥</t>
  </si>
  <si>
    <t>០៥ កញ្ញា ២០០៦</t>
  </si>
  <si>
    <t>ទូច</t>
  </si>
  <si>
    <t>លីហេង</t>
  </si>
  <si>
    <t>យី</t>
  </si>
  <si>
    <t>បញ្ញា</t>
  </si>
  <si>
    <t>សែម</t>
  </si>
  <si>
    <t>សុជាតិ</t>
  </si>
  <si>
    <t>កុំព្យូទ័រ</t>
  </si>
  <si>
    <t>អគ្គិសនី</t>
  </si>
  <si>
    <t>វិទ្យាល័យចំណេះទូទៅនិងបច្ចេកទេស ឯកជនដុនបូស្កូប៉ោយប៉ែត</t>
  </si>
  <si>
    <t>ចាន់</t>
  </si>
  <si>
    <t>ផេង</t>
  </si>
  <si>
    <t>នឿន</t>
  </si>
  <si>
    <t>ប្រាក់</t>
  </si>
  <si>
    <t>លីនដា</t>
  </si>
  <si>
    <t>វិបុល</t>
  </si>
  <si>
    <t>សិស្សរៀនឆមាសទី ១</t>
  </si>
  <si>
    <t>កុំព្យូទរ័</t>
  </si>
  <si>
    <t>មន្ទីរអប់រំ យុវជន និងកីឡា ខេត្តបន្ទាយមានជ័យ</t>
  </si>
  <si>
    <t>គង់</t>
  </si>
  <si>
    <t>០៥ មីនា ២០០៧</t>
  </si>
  <si>
    <t>ចុង</t>
  </si>
  <si>
    <t>ទេវិន្ទ</t>
  </si>
  <si>
    <t>០៩ មករា ២០១០</t>
  </si>
  <si>
    <t>ឈាង</t>
  </si>
  <si>
    <t>គឹមសៀង</t>
  </si>
  <si>
    <t>១៣ កញ្ញា ២០០៩</t>
  </si>
  <si>
    <t>ភីអេ</t>
  </si>
  <si>
    <t>៣១ សីហា ២០០៧</t>
  </si>
  <si>
    <t>សេផានី</t>
  </si>
  <si>
    <t>០៧ មីនា ២០០៧</t>
  </si>
  <si>
    <t>ធឿន</t>
  </si>
  <si>
    <t>ប៊ុនធាន</t>
  </si>
  <si>
    <t>០១ ធ្នូ ២០០៧</t>
  </si>
  <si>
    <t>ប្រម</t>
  </si>
  <si>
    <t>សុភ័ក្រ្ត</t>
  </si>
  <si>
    <t>០៩ កញ្ញា ២០០៧</t>
  </si>
  <si>
    <t>ម៉ុង</t>
  </si>
  <si>
    <t>ស៊ៀវប៉ាវ</t>
  </si>
  <si>
    <t>២១ កក្កដា ២០០៨</t>
  </si>
  <si>
    <t>សុវណ្ណារ៉ា</t>
  </si>
  <si>
    <t>២៨ វិច្ឆិកា ២០០៨</t>
  </si>
  <si>
    <t>យ៉ាន</t>
  </si>
  <si>
    <t>សុខគា</t>
  </si>
  <si>
    <t>១២ មេសា ២០០៨</t>
  </si>
  <si>
    <t>លីពូអ៊ី</t>
  </si>
  <si>
    <t>២៨ ធ្នូ ២០០៧</t>
  </si>
  <si>
    <t>ស៊ូស៊ូ</t>
  </si>
  <si>
    <t>សឿង</t>
  </si>
  <si>
    <t>២៨ មិថុនា ២០០៩</t>
  </si>
  <si>
    <t>ហាប់</t>
  </si>
  <si>
    <t>លី សុងហ៊ុន</t>
  </si>
  <si>
    <t>១៩ មេសា ២០០៩</t>
  </si>
  <si>
    <t>ខឿន</t>
  </si>
  <si>
    <t>លីសា</t>
  </si>
  <si>
    <t>១ មករា ២០០៦</t>
  </si>
  <si>
    <t>គឹម</t>
  </si>
  <si>
    <t>ម៉ារីយ៉ា</t>
  </si>
  <si>
    <t>០២ ធ្នូ ២០០៨</t>
  </si>
  <si>
    <t>ស្រីពេជ</t>
  </si>
  <si>
    <t>០៩ វិច្ឆិកា ​២០០៨</t>
  </si>
  <si>
    <t xml:space="preserve">ឈាន </t>
  </si>
  <si>
    <t>រតនៈ</t>
  </si>
  <si>
    <t>០១ កក្កដា ២០០៩</t>
  </si>
  <si>
    <t>ឈិញ</t>
  </si>
  <si>
    <t>ជូម៉ី</t>
  </si>
  <si>
    <t>១៤ មករា ២០១០</t>
  </si>
  <si>
    <t>០៤ មីនា ២០០៩</t>
  </si>
  <si>
    <t>នូ</t>
  </si>
  <si>
    <t>ពិសី</t>
  </si>
  <si>
    <t>២៧ តុលា ២០០៨</t>
  </si>
  <si>
    <t xml:space="preserve">នឿន </t>
  </si>
  <si>
    <t>ឆៃវិរៈនុត</t>
  </si>
  <si>
    <t>២៦ កញ្ញា ២០០៩</t>
  </si>
  <si>
    <t>រិទ្ធ</t>
  </si>
  <si>
    <t>សេងយិង</t>
  </si>
  <si>
    <t>១៨ តុលា ២០០៩</t>
  </si>
  <si>
    <t>ចន្ទរ៉ុង</t>
  </si>
  <si>
    <t>១៤ មេសា ២០០៨</t>
  </si>
  <si>
    <t>រឿន</t>
  </si>
  <si>
    <t>វីរៈ</t>
  </si>
  <si>
    <t>០៤ មិថុនា ២០០៧</t>
  </si>
  <si>
    <t>លឹម</t>
  </si>
  <si>
    <t>វុទ្ឋី</t>
  </si>
  <si>
    <t>១៣ មិថុនា ២០០៦</t>
  </si>
  <si>
    <t>វឿត</t>
  </si>
  <si>
    <t>ចាន់រ៉ី</t>
  </si>
  <si>
    <t>ស៊ី</t>
  </si>
  <si>
    <t>សុផានិត</t>
  </si>
  <si>
    <t>០៩ កុម្ភៈ ២០០៨</t>
  </si>
  <si>
    <t>សាង</t>
  </si>
  <si>
    <t>១២ សីហា ២០០៧</t>
  </si>
  <si>
    <t>សារ៉េត</t>
  </si>
  <si>
    <t>ស្រីនិច</t>
  </si>
  <si>
    <t>០៤ មិថុនា ២០០៦</t>
  </si>
  <si>
    <t>សួម</t>
  </si>
  <si>
    <t>ចាន់ធី</t>
  </si>
  <si>
    <t>១៦ កក្កដា ២០០៧</t>
  </si>
  <si>
    <t>សឿត</t>
  </si>
  <si>
    <t>ណាហ្សា</t>
  </si>
  <si>
    <t>១៦ មិថុនា ២០០៦</t>
  </si>
  <si>
    <t>សុខរ៉ានី</t>
  </si>
  <si>
    <t>២៩ តុលា ២០០៧</t>
  </si>
  <si>
    <t>សោម</t>
  </si>
  <si>
    <t>បូរ៉ា</t>
  </si>
  <si>
    <t>១៦ ឧសភា ២០០៥</t>
  </si>
  <si>
    <t>ហ៊ន</t>
  </si>
  <si>
    <t>ឈីវយាន</t>
  </si>
  <si>
    <t>០១ តុលា ២០០៨</t>
  </si>
  <si>
    <t>ជីលិញ</t>
  </si>
  <si>
    <t>២៣ តុលា ២០០៧</t>
  </si>
  <si>
    <t>ឡេង</t>
  </si>
  <si>
    <t>លីហួរ</t>
  </si>
  <si>
    <t>០៨ មិថុនា ២០០៧</t>
  </si>
  <si>
    <t>ណារ័ត្ន</t>
  </si>
  <si>
    <t>២៤ សីហា ២០០៨</t>
  </si>
  <si>
    <t>ឡៅ</t>
  </si>
  <si>
    <t>លីម៉ារ៉ាឌី</t>
  </si>
  <si>
    <t>២០ វិច្ឆិកា ២០០៧</t>
  </si>
  <si>
    <t>សិស្សរៀនឆមាសទី១</t>
  </si>
  <si>
    <t>ខៀវ</t>
  </si>
  <si>
    <t>ចន</t>
  </si>
  <si>
    <t>ចើយ</t>
  </si>
  <si>
    <t>ឆាន់</t>
  </si>
  <si>
    <t>ឆាយ</t>
  </si>
  <si>
    <t>ជីន</t>
  </si>
  <si>
    <t>ឈឿន</t>
  </si>
  <si>
    <t>តាន់</t>
  </si>
  <si>
    <t>ធរ៍</t>
  </si>
  <si>
    <t>នី</t>
  </si>
  <si>
    <t>នីម</t>
  </si>
  <si>
    <t>ផន</t>
  </si>
  <si>
    <t>យ៉ង</t>
  </si>
  <si>
    <t>យាង</t>
  </si>
  <si>
    <t>រីម</t>
  </si>
  <si>
    <t>សូយ</t>
  </si>
  <si>
    <t>ហ៊ួ</t>
  </si>
  <si>
    <t>ហាន</t>
  </si>
  <si>
    <t>ឡាយ</t>
  </si>
  <si>
    <t>អយ</t>
  </si>
  <si>
    <t>អ៊ុក</t>
  </si>
  <si>
    <t>សុផាន់នី</t>
  </si>
  <si>
    <t>ហ្គេចណៃ</t>
  </si>
  <si>
    <t>ស៊ីណាង</t>
  </si>
  <si>
    <t>ស្រីល័ក្ខ</t>
  </si>
  <si>
    <t>សុម៉ាវត្តី</t>
  </si>
  <si>
    <t>យុឃាន</t>
  </si>
  <si>
    <t>ស៊ីវម៉ី</t>
  </si>
  <si>
    <t>មីនា</t>
  </si>
  <si>
    <t>ធារ៉ា</t>
  </si>
  <si>
    <t>មេសា</t>
  </si>
  <si>
    <t>ផេងអាន</t>
  </si>
  <si>
    <t>វិធាន</t>
  </si>
  <si>
    <t>ស្រីណូ</t>
  </si>
  <si>
    <t>ស៊ីណា</t>
  </si>
  <si>
    <t>សៀវយីង</t>
  </si>
  <si>
    <t>សុវណ្ណណយ</t>
  </si>
  <si>
    <t>ណាវី</t>
  </si>
  <si>
    <t>ស្រីប៉</t>
  </si>
  <si>
    <t>ធីរ៉ា</t>
  </si>
  <si>
    <t>ឈវី</t>
  </si>
  <si>
    <t>ផាន់នី</t>
  </si>
  <si>
    <t>សុផារីកា</t>
  </si>
  <si>
    <t>មេត្តា</t>
  </si>
  <si>
    <t>ទាវ</t>
  </si>
  <si>
    <t>ដន</t>
  </si>
  <si>
    <t>ណែម</t>
  </si>
  <si>
    <t>ថន</t>
  </si>
  <si>
    <t>ផាន់</t>
  </si>
  <si>
    <t>ផុន</t>
  </si>
  <si>
    <t>មួង</t>
  </si>
  <si>
    <t>រ៉ា</t>
  </si>
  <si>
    <t>រី</t>
  </si>
  <si>
    <t>លីន</t>
  </si>
  <si>
    <t>សៀង</t>
  </si>
  <si>
    <t>ស្រឿន</t>
  </si>
  <si>
    <t>ហ៊ាន</t>
  </si>
  <si>
    <t>អេង</t>
  </si>
  <si>
    <t>អែម</t>
  </si>
  <si>
    <t>សុខយី</t>
  </si>
  <si>
    <t>បូរី</t>
  </si>
  <si>
    <t>វរៈបុត្រ</t>
  </si>
  <si>
    <t>ស៊ីញអាង</t>
  </si>
  <si>
    <t>សុផាន់</t>
  </si>
  <si>
    <t>វាសនា</t>
  </si>
  <si>
    <t>សុរិត</t>
  </si>
  <si>
    <t>វិសាល</t>
  </si>
  <si>
    <t>មករា</t>
  </si>
  <si>
    <t>ឃុនរ៉ា</t>
  </si>
  <si>
    <t>ប៊ុនធេង</t>
  </si>
  <si>
    <t>ម៉េងហួត</t>
  </si>
  <si>
    <t>លាភហេង</t>
  </si>
  <si>
    <t>លីហួ</t>
  </si>
  <si>
    <t>លីហ្វុង</t>
  </si>
  <si>
    <t>២៨ មិថុនា​ ២០០៧</t>
  </si>
  <si>
    <t>កុសល</t>
  </si>
  <si>
    <t>ឈួង</t>
  </si>
  <si>
    <t>ថា</t>
  </si>
  <si>
    <t>ថេ</t>
  </si>
  <si>
    <t>ម៉ុះ</t>
  </si>
  <si>
    <t>លឺត</t>
  </si>
  <si>
    <t>វែង</t>
  </si>
  <si>
    <t>រ៉ុម</t>
  </si>
  <si>
    <t>ហម</t>
  </si>
  <si>
    <t>ស៊ូ</t>
  </si>
  <si>
    <t>សេងហ៊ុយ</t>
  </si>
  <si>
    <t>មិញ</t>
  </si>
  <si>
    <t>ស្រីមាស</t>
  </si>
  <si>
    <t>សុខលាបភា</t>
  </si>
  <si>
    <t>ម៉េងសេង</t>
  </si>
  <si>
    <t>ម៉េងសុង</t>
  </si>
  <si>
    <t>ចាន់ធីតា</t>
  </si>
  <si>
    <t>សុខឡាយ</t>
  </si>
  <si>
    <t>គង់គា</t>
  </si>
  <si>
    <t>សុខនី</t>
  </si>
  <si>
    <t>សុវណ្ណដារ៉ា</t>
  </si>
  <si>
    <t>សុវណ្ណតារា</t>
  </si>
  <si>
    <t>១៩ មករា ២០០៩</t>
  </si>
  <si>
    <t>០៤ ឧសភា ២០០៦</t>
  </si>
  <si>
    <t>១៤ ធ្នូ ២០០៧</t>
  </si>
  <si>
    <t>១០ មេសា ២០០៨</t>
  </si>
  <si>
    <t>២៦ មិថុនា ២០០៨</t>
  </si>
  <si>
    <t>រូបវិទ្យា</t>
  </si>
  <si>
    <t>មេកានិច</t>
  </si>
  <si>
    <t>សាំង</t>
  </si>
  <si>
    <t>ភារម្យ</t>
  </si>
  <si>
    <t>១៩ សីហា ២០០៨</t>
  </si>
  <si>
    <t>០៣ តុលា ២០០៨</t>
  </si>
  <si>
    <t>០៨ មករា ២០០៩</t>
  </si>
  <si>
    <t>០៣ មេសា ២០០៥</t>
  </si>
  <si>
    <t>២៣ កញ្ញា ២០០៨</t>
  </si>
  <si>
    <t>២០ មករា ២០០៦</t>
  </si>
  <si>
    <t>ជូម៉ុង</t>
  </si>
  <si>
    <t>០៤ មិនា ២០០៦</t>
  </si>
  <si>
    <t>០៨ កុម្ភៈ ២០០៧</t>
  </si>
  <si>
    <t>០៨ កក្កដា ២០០៧</t>
  </si>
  <si>
    <t>១៨ ធ្នូ ២០០៩</t>
  </si>
  <si>
    <t>អ៊ី</t>
  </si>
  <si>
    <t>ជ្រាង</t>
  </si>
  <si>
    <t>ឃាងលី</t>
  </si>
  <si>
    <t>២៦ មេសា ២០០៧</t>
  </si>
  <si>
    <t>សួគ៌</t>
  </si>
  <si>
    <t>មេងហ្វូ</t>
  </si>
  <si>
    <t>២២ កុម្ភៈ ២០១០</t>
  </si>
  <si>
    <t>​</t>
  </si>
  <si>
    <t>សិស្សប្រឡងធ្លាក់(F)</t>
  </si>
  <si>
    <t>ឈីន</t>
  </si>
  <si>
    <t>ឌីម</t>
  </si>
  <si>
    <t>ពុំ</t>
  </si>
  <si>
    <t>រ៉ាន់</t>
  </si>
  <si>
    <t>សុគន់</t>
  </si>
  <si>
    <t>សឿន</t>
  </si>
  <si>
    <t>ហង់</t>
  </si>
  <si>
    <t>ស៊ីវជីង</t>
  </si>
  <si>
    <t>អេនឌី</t>
  </si>
  <si>
    <t>ចាន់លាង</t>
  </si>
  <si>
    <t>ចន្ធី</t>
  </si>
  <si>
    <t>ជ័យអួយ</t>
  </si>
  <si>
    <t>ស្រីមួយ</t>
  </si>
  <si>
    <t>កែ</t>
  </si>
  <si>
    <t>សុពីន</t>
  </si>
  <si>
    <t>ង៉ា</t>
  </si>
  <si>
    <t>ចាន់សុខងីម</t>
  </si>
  <si>
    <t>វិជ្ជា</t>
  </si>
  <si>
    <t>សារ៉ា</t>
  </si>
  <si>
    <t>ជី</t>
  </si>
  <si>
    <t>ណាំថាន</t>
  </si>
  <si>
    <t>ឈេន</t>
  </si>
  <si>
    <t>ឌីយ៉ា</t>
  </si>
  <si>
    <t>ដែន</t>
  </si>
  <si>
    <t>សុភ័ស្ដ</t>
  </si>
  <si>
    <t>ណាត</t>
  </si>
  <si>
    <t>រ៉ានុត</t>
  </si>
  <si>
    <t>វ៉ាន់លីហ្សា</t>
  </si>
  <si>
    <t>បុត្រ</t>
  </si>
  <si>
    <t>ភា</t>
  </si>
  <si>
    <t>សុផាន់ណា</t>
  </si>
  <si>
    <t>រៀ</t>
  </si>
  <si>
    <t>ឆេង</t>
  </si>
  <si>
    <t>សយ</t>
  </si>
  <si>
    <t>សារ៉ាត់</t>
  </si>
  <si>
    <t>សល់</t>
  </si>
  <si>
    <t>គឺមឡេង</t>
  </si>
  <si>
    <t>ម៉ាថាយ</t>
  </si>
  <si>
    <t>ដាក់ហ៊ាង</t>
  </si>
  <si>
    <t>ដាវិត</t>
  </si>
  <si>
    <t>សុខហ៊ីន</t>
  </si>
  <si>
    <t>សុនីសា</t>
  </si>
  <si>
    <t>ខេន</t>
  </si>
  <si>
    <t>នរៈបុត្ត</t>
  </si>
  <si>
    <t>គុណ</t>
  </si>
  <si>
    <t>មិនា</t>
  </si>
  <si>
    <t>សុខលាភ</t>
  </si>
  <si>
    <t>គឹមលាង</t>
  </si>
  <si>
    <t>ធៀង</t>
  </si>
  <si>
    <t>ធឿង</t>
  </si>
  <si>
    <t>គឹមប៉ាលី</t>
  </si>
  <si>
    <t>គីតិច</t>
  </si>
  <si>
    <t>ពួន</t>
  </si>
  <si>
    <t>ដាឡែន</t>
  </si>
  <si>
    <t>ភារុណ</t>
  </si>
  <si>
    <t>ថេយុន</t>
  </si>
  <si>
    <t>មុល</t>
  </si>
  <si>
    <t>មឿន</t>
  </si>
  <si>
    <t>ថុនា</t>
  </si>
  <si>
    <t>ប៊ុនស័ក្ដ</t>
  </si>
  <si>
    <t>សុផាមី</t>
  </si>
  <si>
    <t>រិទ្ឌ</t>
  </si>
  <si>
    <t>ជូលី</t>
  </si>
  <si>
    <t>ស៊ីញម៉េងយូ</t>
  </si>
  <si>
    <t>ប៊ុនហេង</t>
  </si>
  <si>
    <t>លាភមាន</t>
  </si>
  <si>
    <t>វី</t>
  </si>
  <si>
    <t>សុខឃីម</t>
  </si>
  <si>
    <t>វឿន</t>
  </si>
  <si>
    <t>វណ្ណឧត្តម</t>
  </si>
  <si>
    <t>វៃ</t>
  </si>
  <si>
    <t>វិច្ឆិកា</t>
  </si>
  <si>
    <t>សុធាវី</t>
  </si>
  <si>
    <t>សុវណ្ណ</t>
  </si>
  <si>
    <t>អ៊ាយី</t>
  </si>
  <si>
    <t>ហឿន</t>
  </si>
  <si>
    <t>រចនា</t>
  </si>
  <si>
    <t>ហ៊ីម</t>
  </si>
  <si>
    <t>ធានី</t>
  </si>
  <si>
    <t>យុយាន</t>
  </si>
  <si>
    <t>ឆ្នាំសិក្សា ២០២៥- ២០២៦</t>
  </si>
  <si>
    <t>ស៊ូប៊ីន</t>
  </si>
  <si>
    <t>ឧទាហរណ៍៖ ក្រាបលទ្ធផលសរុបសិស្សទាំង ៣ ជំនាញ</t>
  </si>
  <si>
    <t>០៩ កញ្ញា ២០០៩</t>
  </si>
  <si>
    <t>២១ តុលា ២០០៩</t>
  </si>
  <si>
    <t>១៩ កញ្ញា ២០១០</t>
  </si>
  <si>
    <t>២១ កុម្ភៈ ២០០៩</t>
  </si>
  <si>
    <t>២៤ តុលា ២០១០</t>
  </si>
  <si>
    <t>០៥ មិនា ២០០៦</t>
  </si>
  <si>
    <t>០១ តុលា ២០០៩</t>
  </si>
  <si>
    <t>ណុប</t>
  </si>
  <si>
    <t>ឌី</t>
  </si>
  <si>
    <t>១១ កញ្ញា ២០០៨</t>
  </si>
  <si>
    <t>៣១ ឧសភា ២០១០</t>
  </si>
  <si>
    <t>២៩ មិនា ២០១០</t>
  </si>
  <si>
    <t>០៧ សីហា ២០០៨</t>
  </si>
  <si>
    <t>សុខលៃ</t>
  </si>
  <si>
    <t>១៣ តុលា ២០១០</t>
  </si>
  <si>
    <t>០៦ កុម្ភៈ ២០០៩</t>
  </si>
  <si>
    <t>២៩ កក្កដា ២០១០</t>
  </si>
  <si>
    <t>០៤ ឧសភា ២០០៨</t>
  </si>
  <si>
    <t>១៤ វិច្ឆិកា ២០០៩</t>
  </si>
  <si>
    <t>២៨ មករា ២០១០</t>
  </si>
  <si>
    <t>២០ ធ្នូ ២០០៩</t>
  </si>
  <si>
    <t>០១ មិថុនា ២០១០</t>
  </si>
  <si>
    <t>០៦ កញ្ញា ២០០៩</t>
  </si>
  <si>
    <t>០៨ មករា ២០១០</t>
  </si>
  <si>
    <t>២៩ ធ្នូ ២០០៧</t>
  </si>
  <si>
    <t>២២ កក្កដា ២០១០</t>
  </si>
  <si>
    <t>០៧ កក្កដា ២០០៩</t>
  </si>
  <si>
    <t>១៦ មិថុនា ២០១១</t>
  </si>
  <si>
    <t>០១ ធ្នូ ២០០៨</t>
  </si>
  <si>
    <t>១៣ កញ្ញា ២០១០</t>
  </si>
  <si>
    <t>២៣ កុម្ភៈ ២០១០</t>
  </si>
  <si>
    <t>១៤ កុម្ភៈ ២០០៨</t>
  </si>
  <si>
    <t>ខែង</t>
  </si>
  <si>
    <t>២៨ ធ្នូ ២០១០</t>
  </si>
  <si>
    <t>២០ សីហា ២០១០</t>
  </si>
  <si>
    <t>ឃួន</t>
  </si>
  <si>
    <t>២១ មករា ២០១១</t>
  </si>
  <si>
    <t>១៥ ឧសភា ២០១១</t>
  </si>
  <si>
    <t>២៨ កញ្ញា ២០០៩</t>
  </si>
  <si>
    <t>២២ មេសា ២០១១</t>
  </si>
  <si>
    <t>១៧ កញ្ញា ២០១១</t>
  </si>
  <si>
    <t>០៦ សីហា ២០០៩</t>
  </si>
  <si>
    <t>០៦ ធ្នូ ២០០៩</t>
  </si>
  <si>
    <t>០៤ កញ្ញា ២០១១</t>
  </si>
  <si>
    <t>០៧ មិនា ២០១១</t>
  </si>
  <si>
    <t>១៩ មិថុនា ២០១០</t>
  </si>
  <si>
    <t>០៦ មិថុនា ២០១០</t>
  </si>
  <si>
    <t>០៤ មេសា ២០០៧</t>
  </si>
  <si>
    <t>២៤ កក្កដា ២០១០</t>
  </si>
  <si>
    <t>១៧ វិច្ឆិកា ២០០៩</t>
  </si>
  <si>
    <t>១៨ កក្កដា ២០១០</t>
  </si>
  <si>
    <t>០៦ កញ្ញា ២០១០</t>
  </si>
  <si>
    <t>0១ កុម្ភៈ ២០១១</t>
  </si>
  <si>
    <t>១៦ កុម្ភៈ ២០០៩</t>
  </si>
  <si>
    <t>១៧ មិថុនា ២០១០</t>
  </si>
  <si>
    <t>១៦ វិច្ឆិកា ២០១០</t>
  </si>
  <si>
    <t>២៩ ធ្នូ ២០១០</t>
  </si>
  <si>
    <t>២៦ តុលា ២០០៨</t>
  </si>
  <si>
    <t>០៩ សីហា ២០០៨</t>
  </si>
  <si>
    <t>០៧ ឧសភា ២០១០</t>
  </si>
  <si>
    <t>លយ</t>
  </si>
  <si>
    <t>កន</t>
  </si>
  <si>
    <t>ប៊ុនរ៉ុង</t>
  </si>
  <si>
    <t>៩ កញ្ញា ២០០៩</t>
  </si>
  <si>
    <t>៣០ ឧសភា ២០០៨</t>
  </si>
  <si>
    <t>២៣ សីហា ២០០៩</t>
  </si>
  <si>
    <t>តារាងពិន្ទុប្រឡងប្រចាំខែមីនា របស់សិស្សផ្នែក មេកានិច ឆ្នាំទី១</t>
  </si>
  <si>
    <t>តារាងពិន្ទុប្រឡងប្រចាំខែមីនា របស់សិស្សផ្នែក អគ្គិសនី ឆ្នាំទី១</t>
  </si>
  <si>
    <t>តារាងពិន្ទុប្រឡងប្រចាំខែមីនា របស់សិស្សផ្នែក មេកានិច ឆ្នាំទី២​</t>
  </si>
  <si>
    <t>ស្ថិតិលទ្ធផលការសិក្សាតាមនិទ្ទេសរបស់សិស្សផ្នែកបច្ចេកទេសសម្រាខែមីនា ឆ្នាំសិក្សា ២០២៥-២០២៦</t>
  </si>
  <si>
    <t>១- លទ្ធផលប្រទ្បងខែមីនា</t>
  </si>
  <si>
    <t>សិស្សរៀននៅឆមាសទី២</t>
  </si>
  <si>
    <t>ឧទាហរណ៍៖ ការប្រៀបធៀបលទ្ធផលសរុបរបស់សិស្សសម្រាប់ខែមីនា</t>
  </si>
  <si>
    <t>ឆមាសទី១</t>
  </si>
  <si>
    <t>ខែមីនា</t>
  </si>
  <si>
    <t xml:space="preserve"> </t>
  </si>
  <si>
    <t>ក្រាបលទ្ធផលការសិក្សារបស់សិស្សតាមជំនាញនីមួយៗនៃ ខែមីនា</t>
  </si>
  <si>
    <t>ក្រាបសរុបរួមនៃលទ្ធផលការសិក្សារបស់សិស្សបច្ចេកទេស ប្រលងប្រចាំខែមីនា</t>
  </si>
  <si>
    <t>ធ្វើនៅដុនបូស្កូប៉ោយប៉ែត ថ្ងៃទី៣១ខែ មីនាឆ្នាំ ២០២៦</t>
  </si>
  <si>
    <t>ថ្ងៃអង្គារ  ១៣កើត ខែចេត្រ ឆ្នាំម្សាញ់ សប្តស័ក ព.ស ២៥៦៩</t>
  </si>
  <si>
    <t>តារាងពិន្ទុប្រឡងប្រចាំខែមីនា របស់សិស្សផ្នែក កំព្យូទ័រ ឆ្នាំទី៣</t>
  </si>
  <si>
    <t>តារាងពិន្ទុប្រឡងប្រចាំខែមីនា របស់សិស្សផ្នែក អគ្គិសនី ឆ្នាំទី៣</t>
  </si>
  <si>
    <t>តារាងពិន្ទុប្រឡងប្រចាំខែមីនា  របស់សិស្សផ្នែក កំព្យូទ័​រ ឆ្នាំទី២</t>
  </si>
  <si>
    <t>តារាងពិន្ទុប្រឡងប្រចាំខែមីនា របស់សិស្សផ្នែក អគ្គិសនី ឆ្នាំទី២</t>
  </si>
  <si>
    <t>តារាងពិន្ទុប្រឡងប្រចាំខែមីនា របស់សិស្សផ្នែក​ កំព្យូទ័រ​ ឆ្នាំទី១</t>
  </si>
  <si>
    <t xml:space="preserve">             ដោយគោរព និងអនុវត្តតាមការណែនាំ របស់នាយកដ្ឋានតម្រង់ទិសវិជ្ជាជីវៈ នៃក្រសួងអប់រំ យុវជន និងកីឡា   វិទ្យាល័យចំណេះទូទៅ និងបច្ចេកទេស ឯកជនដុនបូស្កូប៉ោយប៉ែត  
បានរៀបចំការរៀននិងបង្រៀនតាម​កម្មវិធីសិក្សាដែលនាយកដ្ចានតម្រង់ទិសវិជ្ជាជីវៈបានផ្ដល់ឱ្យ ។ យោងតាមលទ្ធផលប្រឡងប្រចាំខែមីនា បានបង្ហាញឱ្យឃើញថា ៖ 
១.សិស្សដែលបានប្រឡងជាប់មានចំនួនសរុប ១៥៩នាក់  ស្រីមានចំនួន ៧៣នាក់  ២.សិស្សប្រឡងធ្លាក់មានចំនួន 0 នាក់   ក្នុងនោះស្រីមានចំនួន ០ នាក់,  និង​​ ៣.សិស្សមិនបានប្រឡងមាន
ចំនួន ៥នាក់   ក្នុងនោះស្រីមានចំនួន ០ នាក់  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</si>
</sst>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2000425]0"/>
    <numFmt numFmtId="165" formatCode="[$-12000453]dd\ mmmm\ yyyy;@"/>
    <numFmt numFmtId="166" formatCode="[$-12000453]0"/>
  </numFmts>
  <fonts count="95" x14ac:knownFonts="1">
    <font>
      <sz val="11"/>
      <color theme="1"/>
      <name val="Calibri"/>
      <family val="2"/>
      <scheme val="minor"/>
    </font>
    <font>
      <sz val="11"/>
      <color theme="1"/>
      <name val="Khmer OS Siemreap"/>
    </font>
    <font>
      <b/>
      <sz val="11"/>
      <color theme="1"/>
      <name val="Khmer OS Siemreap"/>
    </font>
    <font>
      <b/>
      <sz val="10"/>
      <color theme="1"/>
      <name val="Khmer OS Siemreap"/>
    </font>
    <font>
      <sz val="10"/>
      <color theme="1"/>
      <name val="Khmer OS Siemreap"/>
    </font>
    <font>
      <sz val="10"/>
      <name val="Khmer OS Siemreap"/>
    </font>
    <font>
      <sz val="11"/>
      <color theme="1"/>
      <name val="Khmer OS Moul Light"/>
    </font>
    <font>
      <sz val="12"/>
      <color theme="1"/>
      <name val="Khmer OS Moul Light"/>
    </font>
    <font>
      <sz val="11"/>
      <color rgb="FF000000"/>
      <name val="Khmer OS Muol Light"/>
    </font>
    <font>
      <sz val="11"/>
      <color rgb="FF000000"/>
      <name val="Khmer OS Muol"/>
    </font>
    <font>
      <sz val="48"/>
      <color rgb="FF000000"/>
      <name val="Tacteing"/>
    </font>
    <font>
      <b/>
      <sz val="10"/>
      <color rgb="FF000000"/>
      <name val="Khmer OS Siemreap"/>
    </font>
    <font>
      <sz val="11"/>
      <color rgb="FF000000"/>
      <name val="Khmer OS Content"/>
    </font>
    <font>
      <sz val="10"/>
      <name val="Khmer OS Muol Light"/>
    </font>
    <font>
      <sz val="10"/>
      <color rgb="FF000000"/>
      <name val="Khmer OS Siemreap"/>
    </font>
    <font>
      <b/>
      <sz val="11"/>
      <color rgb="FF000000"/>
      <name val="Khmer OS Content"/>
    </font>
    <font>
      <sz val="10"/>
      <color rgb="FF000000"/>
      <name val="Khmer OS Content"/>
    </font>
    <font>
      <b/>
      <sz val="11"/>
      <color rgb="FF000000"/>
      <name val="Khmer OS Siemreap"/>
    </font>
    <font>
      <sz val="11"/>
      <color rgb="FF000000"/>
      <name val="Calibri"/>
      <family val="2"/>
    </font>
    <font>
      <sz val="11"/>
      <color rgb="FF000000"/>
      <name val="Khmer OS Siemreap"/>
    </font>
    <font>
      <sz val="18"/>
      <color rgb="FFFF0000"/>
      <name val="Arial"/>
      <family val="2"/>
    </font>
    <font>
      <sz val="11"/>
      <color rgb="FFFF0000"/>
      <name val="Khmer OS Battambang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Khmer OS Content"/>
    </font>
    <font>
      <sz val="10"/>
      <color rgb="FF000000"/>
      <name val="Khmer OS Muol Light"/>
    </font>
    <font>
      <sz val="11"/>
      <name val="Khmer OS Muol Light"/>
    </font>
    <font>
      <sz val="12"/>
      <color rgb="FF000000"/>
      <name val="Khmer OS Muol Light"/>
    </font>
    <font>
      <b/>
      <sz val="14"/>
      <name val="Calibri Light"/>
      <family val="2"/>
      <scheme val="major"/>
    </font>
    <font>
      <sz val="11"/>
      <name val="Khmer OS Battambang"/>
    </font>
    <font>
      <b/>
      <sz val="11"/>
      <color rgb="FF0070C0"/>
      <name val="Khmer OS Battambang"/>
    </font>
    <font>
      <sz val="11"/>
      <color theme="1"/>
      <name val="Khmer OS Muol Light"/>
    </font>
    <font>
      <sz val="14"/>
      <color rgb="FF7030A0"/>
      <name val="Khmer OS Moul Light"/>
    </font>
    <font>
      <b/>
      <sz val="10"/>
      <color rgb="FF00B050"/>
      <name val="Khmer OS Siemreap"/>
    </font>
    <font>
      <sz val="11"/>
      <color rgb="FF00B050"/>
      <name val="Khmer OS Siemreap"/>
    </font>
    <font>
      <sz val="11"/>
      <name val="Khmer OS Siemreap"/>
    </font>
    <font>
      <b/>
      <sz val="9"/>
      <color theme="1"/>
      <name val="Khmer OS Siemreap"/>
    </font>
    <font>
      <b/>
      <sz val="10"/>
      <name val="Khmer OS Siemreap"/>
    </font>
    <font>
      <b/>
      <sz val="14"/>
      <color theme="4" tint="-0.499984740745262"/>
      <name val="Khmer OS Muol Light"/>
    </font>
    <font>
      <sz val="10"/>
      <color rgb="FF00B050"/>
      <name val="Khmer OS Battambang"/>
    </font>
    <font>
      <sz val="10"/>
      <color rgb="FF0070C0"/>
      <name val="Khmer OS Battambang"/>
    </font>
    <font>
      <sz val="10"/>
      <color rgb="FF7030A0"/>
      <name val="Khmer OS Battambang"/>
    </font>
    <font>
      <sz val="10"/>
      <color theme="7" tint="-0.249977111117893"/>
      <name val="Khmer OS Battambang"/>
    </font>
    <font>
      <sz val="10"/>
      <color theme="5" tint="-0.249977111117893"/>
      <name val="Khmer OS Battambang"/>
    </font>
    <font>
      <sz val="10"/>
      <color rgb="FFFF0000"/>
      <name val="Khmer OS Battambang"/>
    </font>
    <font>
      <b/>
      <sz val="10"/>
      <name val="Khmer OS Battambang"/>
    </font>
    <font>
      <b/>
      <sz val="12"/>
      <color theme="4" tint="-0.499984740745262"/>
      <name val="Khmer OS Muol Light"/>
    </font>
    <font>
      <b/>
      <sz val="12"/>
      <color theme="1"/>
      <name val="Khmer OS Siemreap"/>
    </font>
    <font>
      <sz val="11"/>
      <color rgb="FF00B050"/>
      <name val="Calibri"/>
      <family val="2"/>
      <scheme val="minor"/>
    </font>
    <font>
      <b/>
      <sz val="11"/>
      <name val="Khmer OS Siemreap"/>
    </font>
    <font>
      <sz val="10"/>
      <color rgb="FFFF0000"/>
      <name val="Khmer OS Siemreap"/>
    </font>
    <font>
      <sz val="11"/>
      <color rgb="FF00B050"/>
      <name val="Khmer OS Moul Light"/>
    </font>
    <font>
      <sz val="10"/>
      <color rgb="FF00B050"/>
      <name val="Khmer OS Siemreap"/>
    </font>
    <font>
      <sz val="11"/>
      <color theme="1"/>
      <name val="Calibri"/>
      <family val="2"/>
    </font>
    <font>
      <b/>
      <sz val="10"/>
      <color rgb="FFFF0000"/>
      <name val="Khmer OS Siemreap"/>
    </font>
    <font>
      <sz val="11"/>
      <color rgb="FFFF0000"/>
      <name val="Khmer OS Siemreap"/>
    </font>
    <font>
      <b/>
      <sz val="11"/>
      <color rgb="FFFF0000"/>
      <name val="Khmer OS Siemreap"/>
    </font>
    <font>
      <b/>
      <sz val="11"/>
      <color rgb="FFFF0000"/>
      <name val="Khmer OS Muol Light"/>
    </font>
    <font>
      <sz val="14"/>
      <color rgb="FFFF0000"/>
      <name val="Khmer OS Muol Light"/>
    </font>
    <font>
      <sz val="8"/>
      <name val="Calibri"/>
      <family val="2"/>
      <scheme val="minor"/>
    </font>
    <font>
      <sz val="10"/>
      <color rgb="FF000000"/>
      <name val="!Khmer OS Siemreap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Khmer OS Content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Khmer OS Muol Light"/>
    </font>
    <font>
      <b/>
      <sz val="10"/>
      <color rgb="FF000000"/>
      <name val="Khmer OS Muol Light"/>
    </font>
    <font>
      <sz val="10"/>
      <color theme="1"/>
      <name val="!Khmer OS Siemreap"/>
    </font>
    <font>
      <b/>
      <sz val="8"/>
      <color theme="1"/>
      <name val="Khmer OS Siemreap"/>
    </font>
    <font>
      <b/>
      <sz val="11"/>
      <color rgb="FF000000"/>
      <name val="Times New Roman"/>
      <family val="1"/>
    </font>
    <font>
      <sz val="11"/>
      <color theme="1"/>
      <name val="Khmer OS Battambang"/>
    </font>
    <font>
      <sz val="10"/>
      <color theme="1"/>
      <name val="Battambang"/>
      <family val="2"/>
    </font>
    <font>
      <sz val="11"/>
      <color theme="1"/>
      <name val="Battambang"/>
      <family val="2"/>
    </font>
    <font>
      <sz val="12"/>
      <color theme="1"/>
      <name val="Khmer OS Muol Light"/>
    </font>
    <font>
      <sz val="14"/>
      <color theme="1"/>
      <name val="Khmer OS Muol Light"/>
    </font>
    <font>
      <b/>
      <sz val="14"/>
      <color theme="1"/>
      <name val="Khmer OS Siemreap"/>
    </font>
    <font>
      <sz val="72"/>
      <color rgb="FF000000"/>
      <name val="Tacteing"/>
    </font>
    <font>
      <b/>
      <sz val="7"/>
      <color theme="1"/>
      <name val="Khmer OS Siemreap"/>
    </font>
    <font>
      <sz val="9"/>
      <color rgb="FF00B050"/>
      <name val="Khmer OS Battambang"/>
    </font>
    <font>
      <sz val="9"/>
      <color rgb="FF0070C0"/>
      <name val="Khmer OS Battambang"/>
    </font>
    <font>
      <sz val="9"/>
      <color rgb="FF7030A0"/>
      <name val="Khmer OS Battambang"/>
    </font>
    <font>
      <sz val="9"/>
      <color theme="7" tint="-0.249977111117893"/>
      <name val="Khmer OS Battambang"/>
    </font>
    <font>
      <sz val="9"/>
      <color theme="5" tint="-0.249977111117893"/>
      <name val="Khmer OS Battambang"/>
    </font>
    <font>
      <sz val="9"/>
      <color rgb="FFFF0000"/>
      <name val="Khmer OS Battambang"/>
    </font>
    <font>
      <b/>
      <sz val="9"/>
      <color rgb="FF000000"/>
      <name val="Khmer OS Siemreap"/>
    </font>
    <font>
      <sz val="10"/>
      <color theme="1"/>
      <name val="Khmer OS Battambang"/>
    </font>
    <font>
      <sz val="9"/>
      <color theme="1"/>
      <name val="Times New Roman"/>
      <family val="1"/>
    </font>
    <font>
      <b/>
      <sz val="8"/>
      <name val="Khmer OS Siemreap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65" fillId="0" borderId="0"/>
  </cellStyleXfs>
  <cellXfs count="55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vertical="top"/>
    </xf>
    <xf numFmtId="1" fontId="12" fillId="0" borderId="0" xfId="0" applyNumberFormat="1" applyFont="1" applyAlignment="1">
      <alignment vertical="top"/>
    </xf>
    <xf numFmtId="0" fontId="18" fillId="0" borderId="0" xfId="0" applyFont="1" applyAlignment="1">
      <alignment vertical="center"/>
    </xf>
    <xf numFmtId="49" fontId="20" fillId="0" borderId="0" xfId="0" applyNumberFormat="1" applyFont="1" applyAlignment="1">
      <alignment horizontal="right"/>
    </xf>
    <xf numFmtId="0" fontId="16" fillId="0" borderId="0" xfId="0" applyFont="1" applyAlignment="1">
      <alignment vertical="top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vertical="top"/>
    </xf>
    <xf numFmtId="0" fontId="24" fillId="0" borderId="0" xfId="0" applyFont="1" applyAlignment="1">
      <alignment vertical="top"/>
    </xf>
    <xf numFmtId="0" fontId="23" fillId="0" borderId="0" xfId="0" applyFont="1" applyAlignment="1">
      <alignment vertical="center"/>
    </xf>
    <xf numFmtId="1" fontId="22" fillId="0" borderId="0" xfId="0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32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49" fontId="33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" fillId="0" borderId="0" xfId="0" applyFont="1"/>
    <xf numFmtId="0" fontId="36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49" fontId="37" fillId="0" borderId="1" xfId="0" applyNumberFormat="1" applyFont="1" applyBorder="1" applyAlignment="1">
      <alignment horizontal="center"/>
    </xf>
    <xf numFmtId="0" fontId="38" fillId="0" borderId="0" xfId="0" applyFont="1" applyAlignment="1">
      <alignment vertical="top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33" fillId="0" borderId="1" xfId="0" applyFont="1" applyBorder="1" applyAlignment="1">
      <alignment horizontal="center" vertical="center"/>
    </xf>
    <xf numFmtId="0" fontId="46" fillId="0" borderId="0" xfId="0" applyFont="1" applyAlignment="1">
      <alignment horizontal="center" vertical="top"/>
    </xf>
    <xf numFmtId="0" fontId="4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31" fillId="0" borderId="0" xfId="0" applyFont="1"/>
    <xf numFmtId="164" fontId="50" fillId="0" borderId="1" xfId="0" applyNumberFormat="1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49" fontId="54" fillId="0" borderId="2" xfId="0" applyNumberFormat="1" applyFont="1" applyBorder="1" applyAlignment="1">
      <alignment horizontal="center"/>
    </xf>
    <xf numFmtId="0" fontId="55" fillId="0" borderId="1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 wrapText="1"/>
    </xf>
    <xf numFmtId="0" fontId="49" fillId="4" borderId="3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/>
    </xf>
    <xf numFmtId="49" fontId="37" fillId="4" borderId="1" xfId="0" applyNumberFormat="1" applyFont="1" applyFill="1" applyBorder="1" applyAlignment="1">
      <alignment horizontal="center"/>
    </xf>
    <xf numFmtId="0" fontId="44" fillId="0" borderId="0" xfId="0" applyFont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45" fillId="0" borderId="1" xfId="0" applyFont="1" applyBorder="1" applyAlignment="1">
      <alignment horizontal="left" vertical="center"/>
    </xf>
    <xf numFmtId="0" fontId="36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62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1" fillId="0" borderId="0" xfId="0" applyFont="1"/>
    <xf numFmtId="49" fontId="20" fillId="0" borderId="0" xfId="0" applyNumberFormat="1" applyFont="1" applyAlignment="1">
      <alignment horizontal="center"/>
    </xf>
    <xf numFmtId="0" fontId="46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49" fontId="20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top"/>
    </xf>
    <xf numFmtId="0" fontId="25" fillId="0" borderId="0" xfId="0" applyFont="1" applyAlignment="1">
      <alignment horizontal="left" vertical="center"/>
    </xf>
    <xf numFmtId="0" fontId="69" fillId="0" borderId="0" xfId="0" applyFont="1"/>
    <xf numFmtId="0" fontId="70" fillId="0" borderId="0" xfId="0" applyFont="1" applyAlignment="1">
      <alignment horizontal="center" vertical="top"/>
    </xf>
    <xf numFmtId="0" fontId="71" fillId="0" borderId="0" xfId="0" applyFont="1" applyAlignment="1">
      <alignment horizontal="center" vertical="center"/>
    </xf>
    <xf numFmtId="0" fontId="72" fillId="0" borderId="15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top" wrapText="1"/>
    </xf>
    <xf numFmtId="0" fontId="75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right" vertical="top"/>
    </xf>
    <xf numFmtId="0" fontId="44" fillId="0" borderId="0" xfId="0" applyFont="1" applyAlignment="1">
      <alignment vertical="top"/>
    </xf>
    <xf numFmtId="0" fontId="69" fillId="0" borderId="0" xfId="0" applyFont="1" applyAlignment="1">
      <alignment vertical="top"/>
    </xf>
    <xf numFmtId="0" fontId="64" fillId="0" borderId="16" xfId="1" applyFont="1" applyBorder="1" applyAlignment="1">
      <alignment horizontal="center" vertical="center"/>
    </xf>
    <xf numFmtId="0" fontId="74" fillId="13" borderId="5" xfId="0" applyFont="1" applyFill="1" applyBorder="1" applyAlignment="1">
      <alignment horizontal="center" vertical="top"/>
    </xf>
    <xf numFmtId="0" fontId="68" fillId="13" borderId="5" xfId="0" applyFont="1" applyFill="1" applyBorder="1" applyAlignment="1">
      <alignment horizontal="center" vertical="top"/>
    </xf>
    <xf numFmtId="0" fontId="76" fillId="0" borderId="1" xfId="0" applyFont="1" applyBorder="1" applyAlignment="1">
      <alignment horizontal="center" vertical="center" wrapText="1"/>
    </xf>
    <xf numFmtId="0" fontId="64" fillId="0" borderId="18" xfId="0" applyFont="1" applyBorder="1" applyAlignment="1">
      <alignment horizontal="center" vertical="top" wrapText="1"/>
    </xf>
    <xf numFmtId="0" fontId="64" fillId="0" borderId="19" xfId="0" applyFont="1" applyBorder="1" applyAlignment="1">
      <alignment horizontal="center" vertical="top" wrapText="1"/>
    </xf>
    <xf numFmtId="1" fontId="74" fillId="11" borderId="13" xfId="0" applyNumberFormat="1" applyFont="1" applyFill="1" applyBorder="1" applyAlignment="1">
      <alignment horizontal="center" vertical="center"/>
    </xf>
    <xf numFmtId="0" fontId="64" fillId="0" borderId="13" xfId="0" applyFont="1" applyBorder="1" applyAlignment="1">
      <alignment horizontal="center" vertical="center" wrapText="1"/>
    </xf>
    <xf numFmtId="0" fontId="64" fillId="0" borderId="5" xfId="0" applyFont="1" applyBorder="1" applyAlignment="1">
      <alignment horizontal="center" vertical="center" wrapText="1"/>
    </xf>
    <xf numFmtId="0" fontId="64" fillId="0" borderId="5" xfId="0" applyFont="1" applyBorder="1" applyAlignment="1">
      <alignment vertical="center" wrapText="1"/>
    </xf>
    <xf numFmtId="0" fontId="64" fillId="0" borderId="20" xfId="0" applyFont="1" applyBorder="1" applyAlignment="1">
      <alignment horizontal="center" vertical="top" wrapText="1"/>
    </xf>
    <xf numFmtId="0" fontId="64" fillId="0" borderId="12" xfId="0" applyFont="1" applyBorder="1" applyAlignment="1">
      <alignment horizontal="center" vertical="center" wrapText="1"/>
    </xf>
    <xf numFmtId="0" fontId="67" fillId="0" borderId="13" xfId="0" applyFont="1" applyBorder="1" applyAlignment="1">
      <alignment horizontal="center" vertical="center" wrapText="1"/>
    </xf>
    <xf numFmtId="2" fontId="74" fillId="12" borderId="5" xfId="0" applyNumberFormat="1" applyFont="1" applyFill="1" applyBorder="1" applyAlignment="1">
      <alignment horizontal="center" vertical="center"/>
    </xf>
    <xf numFmtId="0" fontId="74" fillId="13" borderId="5" xfId="0" applyFont="1" applyFill="1" applyBorder="1" applyAlignment="1">
      <alignment horizontal="center" vertical="center"/>
    </xf>
    <xf numFmtId="0" fontId="66" fillId="14" borderId="12" xfId="0" applyFont="1" applyFill="1" applyBorder="1" applyAlignment="1">
      <alignment horizontal="center" vertical="center"/>
    </xf>
    <xf numFmtId="0" fontId="66" fillId="14" borderId="2" xfId="0" applyFont="1" applyFill="1" applyBorder="1" applyAlignment="1">
      <alignment horizontal="center" vertical="center"/>
    </xf>
    <xf numFmtId="2" fontId="68" fillId="12" borderId="5" xfId="0" applyNumberFormat="1" applyFont="1" applyFill="1" applyBorder="1" applyAlignment="1">
      <alignment horizontal="center" vertical="center"/>
    </xf>
    <xf numFmtId="0" fontId="68" fillId="13" borderId="5" xfId="0" applyFont="1" applyFill="1" applyBorder="1" applyAlignment="1">
      <alignment horizontal="center" vertical="center"/>
    </xf>
    <xf numFmtId="0" fontId="68" fillId="14" borderId="2" xfId="0" applyFont="1" applyFill="1" applyBorder="1" applyAlignment="1">
      <alignment horizontal="center" vertical="center"/>
    </xf>
    <xf numFmtId="2" fontId="74" fillId="12" borderId="1" xfId="0" applyNumberFormat="1" applyFont="1" applyFill="1" applyBorder="1" applyAlignment="1">
      <alignment horizontal="center" vertical="center"/>
    </xf>
    <xf numFmtId="0" fontId="74" fillId="13" borderId="1" xfId="0" applyFont="1" applyFill="1" applyBorder="1" applyAlignment="1">
      <alignment horizontal="center" vertical="center"/>
    </xf>
    <xf numFmtId="0" fontId="74" fillId="13" borderId="1" xfId="0" applyFont="1" applyFill="1" applyBorder="1" applyAlignment="1">
      <alignment horizontal="center" vertical="top"/>
    </xf>
    <xf numFmtId="0" fontId="77" fillId="0" borderId="1" xfId="0" applyFont="1" applyBorder="1" applyAlignment="1">
      <alignment horizontal="center" vertical="top" wrapText="1"/>
    </xf>
    <xf numFmtId="0" fontId="67" fillId="0" borderId="5" xfId="0" applyFont="1" applyBorder="1" applyAlignment="1">
      <alignment horizontal="center" vertical="center" wrapText="1"/>
    </xf>
    <xf numFmtId="0" fontId="67" fillId="0" borderId="14" xfId="0" applyFont="1" applyBorder="1" applyAlignment="1">
      <alignment horizontal="center" vertical="center" wrapText="1"/>
    </xf>
    <xf numFmtId="0" fontId="64" fillId="0" borderId="21" xfId="1" applyFont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60" fillId="0" borderId="15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 wrapText="1"/>
    </xf>
    <xf numFmtId="0" fontId="68" fillId="11" borderId="3" xfId="0" applyFont="1" applyFill="1" applyBorder="1" applyAlignment="1">
      <alignment horizontal="center" vertical="center" wrapText="1"/>
    </xf>
    <xf numFmtId="1" fontId="74" fillId="11" borderId="3" xfId="0" applyNumberFormat="1" applyFont="1" applyFill="1" applyBorder="1" applyAlignment="1">
      <alignment horizontal="center" vertical="center"/>
    </xf>
    <xf numFmtId="0" fontId="66" fillId="0" borderId="5" xfId="0" applyFont="1" applyBorder="1" applyAlignment="1">
      <alignment horizontal="center" vertical="center" wrapText="1"/>
    </xf>
    <xf numFmtId="0" fontId="64" fillId="0" borderId="22" xfId="1" applyFont="1" applyBorder="1" applyAlignment="1">
      <alignment horizontal="center" vertical="center"/>
    </xf>
    <xf numFmtId="2" fontId="68" fillId="12" borderId="1" xfId="0" applyNumberFormat="1" applyFont="1" applyFill="1" applyBorder="1" applyAlignment="1">
      <alignment horizontal="center" vertical="center"/>
    </xf>
    <xf numFmtId="0" fontId="68" fillId="13" borderId="1" xfId="0" applyFont="1" applyFill="1" applyBorder="1" applyAlignment="1">
      <alignment horizontal="center" vertical="center"/>
    </xf>
    <xf numFmtId="0" fontId="17" fillId="0" borderId="0" xfId="0" applyFont="1"/>
    <xf numFmtId="166" fontId="3" fillId="3" borderId="1" xfId="0" applyNumberFormat="1" applyFont="1" applyFill="1" applyBorder="1" applyAlignment="1">
      <alignment horizontal="center" vertical="center"/>
    </xf>
    <xf numFmtId="0" fontId="68" fillId="13" borderId="1" xfId="0" applyFont="1" applyFill="1" applyBorder="1" applyAlignment="1">
      <alignment horizontal="center" vertical="top"/>
    </xf>
    <xf numFmtId="0" fontId="73" fillId="0" borderId="1" xfId="0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0" fontId="73" fillId="0" borderId="4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166" fontId="54" fillId="0" borderId="1" xfId="0" applyNumberFormat="1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top" wrapText="1"/>
    </xf>
    <xf numFmtId="166" fontId="29" fillId="0" borderId="2" xfId="0" applyNumberFormat="1" applyFont="1" applyBorder="1" applyAlignment="1">
      <alignment horizontal="center" vertical="top"/>
    </xf>
    <xf numFmtId="0" fontId="75" fillId="0" borderId="5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 wrapText="1"/>
    </xf>
    <xf numFmtId="0" fontId="91" fillId="0" borderId="2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91" fillId="16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top"/>
    </xf>
    <xf numFmtId="166" fontId="60" fillId="0" borderId="16" xfId="0" applyNumberFormat="1" applyFont="1" applyBorder="1" applyAlignment="1">
      <alignment horizontal="center" vertical="top"/>
    </xf>
    <xf numFmtId="166" fontId="60" fillId="0" borderId="15" xfId="0" applyNumberFormat="1" applyFont="1" applyBorder="1" applyAlignment="1">
      <alignment horizontal="center" vertical="top"/>
    </xf>
    <xf numFmtId="0" fontId="76" fillId="17" borderId="1" xfId="0" applyFont="1" applyFill="1" applyBorder="1" applyAlignment="1">
      <alignment horizontal="center" vertical="center" wrapText="1"/>
    </xf>
    <xf numFmtId="0" fontId="64" fillId="17" borderId="3" xfId="0" applyFont="1" applyFill="1" applyBorder="1" applyAlignment="1">
      <alignment horizontal="center" vertical="center" wrapText="1"/>
    </xf>
    <xf numFmtId="166" fontId="14" fillId="0" borderId="16" xfId="0" applyNumberFormat="1" applyFont="1" applyBorder="1" applyAlignment="1">
      <alignment horizontal="center" vertical="top"/>
    </xf>
    <xf numFmtId="166" fontId="14" fillId="0" borderId="15" xfId="0" applyNumberFormat="1" applyFont="1" applyBorder="1" applyAlignment="1">
      <alignment horizontal="center" vertical="top"/>
    </xf>
    <xf numFmtId="166" fontId="60" fillId="0" borderId="1" xfId="0" applyNumberFormat="1" applyFont="1" applyBorder="1" applyAlignment="1">
      <alignment horizontal="center" vertical="center"/>
    </xf>
    <xf numFmtId="166" fontId="72" fillId="0" borderId="15" xfId="0" applyNumberFormat="1" applyFont="1" applyBorder="1" applyAlignment="1">
      <alignment horizontal="center" vertical="center"/>
    </xf>
    <xf numFmtId="166" fontId="60" fillId="0" borderId="15" xfId="0" applyNumberFormat="1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top"/>
    </xf>
    <xf numFmtId="164" fontId="50" fillId="0" borderId="3" xfId="0" applyNumberFormat="1" applyFont="1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93" fillId="0" borderId="5" xfId="0" applyFont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0" fontId="94" fillId="0" borderId="5" xfId="0" applyFont="1" applyBorder="1" applyAlignment="1">
      <alignment horizontal="center" vertical="center" wrapText="1"/>
    </xf>
    <xf numFmtId="0" fontId="93" fillId="6" borderId="5" xfId="0" applyFont="1" applyFill="1" applyBorder="1" applyAlignment="1">
      <alignment horizontal="center" vertical="center" wrapText="1"/>
    </xf>
    <xf numFmtId="0" fontId="93" fillId="7" borderId="5" xfId="0" applyFont="1" applyFill="1" applyBorder="1" applyAlignment="1">
      <alignment horizontal="center" vertical="center" wrapText="1"/>
    </xf>
    <xf numFmtId="0" fontId="93" fillId="8" borderId="5" xfId="0" applyFont="1" applyFill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93" fillId="6" borderId="1" xfId="0" applyFont="1" applyFill="1" applyBorder="1" applyAlignment="1">
      <alignment horizontal="center" vertical="center" wrapText="1"/>
    </xf>
    <xf numFmtId="0" fontId="93" fillId="7" borderId="1" xfId="0" applyFont="1" applyFill="1" applyBorder="1" applyAlignment="1">
      <alignment horizontal="center" vertical="center" wrapText="1"/>
    </xf>
    <xf numFmtId="0" fontId="93" fillId="8" borderId="1" xfId="0" applyFont="1" applyFill="1" applyBorder="1" applyAlignment="1">
      <alignment horizontal="center" vertical="center" wrapText="1"/>
    </xf>
    <xf numFmtId="1" fontId="74" fillId="11" borderId="1" xfId="0" applyNumberFormat="1" applyFont="1" applyFill="1" applyBorder="1" applyAlignment="1">
      <alignment horizontal="center" vertical="center"/>
    </xf>
    <xf numFmtId="166" fontId="29" fillId="18" borderId="2" xfId="0" applyNumberFormat="1" applyFont="1" applyFill="1" applyBorder="1" applyAlignment="1">
      <alignment horizontal="center" vertical="top"/>
    </xf>
    <xf numFmtId="0" fontId="76" fillId="18" borderId="1" xfId="0" applyFont="1" applyFill="1" applyBorder="1" applyAlignment="1">
      <alignment horizontal="center" vertical="center" wrapText="1"/>
    </xf>
    <xf numFmtId="0" fontId="93" fillId="18" borderId="1" xfId="0" applyFont="1" applyFill="1" applyBorder="1" applyAlignment="1">
      <alignment horizontal="center" vertical="center" wrapText="1"/>
    </xf>
    <xf numFmtId="0" fontId="93" fillId="18" borderId="2" xfId="0" applyFont="1" applyFill="1" applyBorder="1" applyAlignment="1">
      <alignment horizontal="center" vertical="center" wrapText="1"/>
    </xf>
    <xf numFmtId="0" fontId="93" fillId="0" borderId="2" xfId="0" applyFont="1" applyBorder="1" applyAlignment="1">
      <alignment horizontal="center" vertical="center" wrapText="1"/>
    </xf>
    <xf numFmtId="1" fontId="74" fillId="18" borderId="3" xfId="0" applyNumberFormat="1" applyFont="1" applyFill="1" applyBorder="1" applyAlignment="1">
      <alignment horizontal="center" vertical="center"/>
    </xf>
    <xf numFmtId="2" fontId="74" fillId="18" borderId="1" xfId="0" applyNumberFormat="1" applyFont="1" applyFill="1" applyBorder="1" applyAlignment="1">
      <alignment horizontal="center" vertical="center"/>
    </xf>
    <xf numFmtId="0" fontId="74" fillId="18" borderId="1" xfId="0" applyFont="1" applyFill="1" applyBorder="1" applyAlignment="1">
      <alignment horizontal="center" vertical="center"/>
    </xf>
    <xf numFmtId="0" fontId="66" fillId="18" borderId="2" xfId="0" applyFont="1" applyFill="1" applyBorder="1" applyAlignment="1">
      <alignment horizontal="center" vertical="center"/>
    </xf>
    <xf numFmtId="0" fontId="66" fillId="18" borderId="17" xfId="0" applyFont="1" applyFill="1" applyBorder="1" applyAlignment="1">
      <alignment horizontal="center" vertical="center" wrapText="1"/>
    </xf>
    <xf numFmtId="0" fontId="66" fillId="18" borderId="3" xfId="0" applyFont="1" applyFill="1" applyBorder="1" applyAlignment="1">
      <alignment horizontal="center" vertical="center" wrapText="1"/>
    </xf>
    <xf numFmtId="0" fontId="93" fillId="18" borderId="3" xfId="0" applyFont="1" applyFill="1" applyBorder="1" applyAlignment="1">
      <alignment horizontal="center" vertical="center" wrapText="1"/>
    </xf>
    <xf numFmtId="0" fontId="93" fillId="0" borderId="3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wrapText="1"/>
    </xf>
    <xf numFmtId="0" fontId="91" fillId="0" borderId="3" xfId="0" applyFont="1" applyBorder="1" applyAlignment="1">
      <alignment horizontal="center" vertical="center" wrapText="1"/>
    </xf>
    <xf numFmtId="166" fontId="29" fillId="18" borderId="1" xfId="0" applyNumberFormat="1" applyFont="1" applyFill="1" applyBorder="1" applyAlignment="1">
      <alignment horizontal="center" vertical="top"/>
    </xf>
    <xf numFmtId="0" fontId="75" fillId="18" borderId="1" xfId="0" applyFont="1" applyFill="1" applyBorder="1" applyAlignment="1">
      <alignment horizontal="center" vertical="center" wrapText="1"/>
    </xf>
    <xf numFmtId="0" fontId="91" fillId="18" borderId="1" xfId="0" applyFont="1" applyFill="1" applyBorder="1" applyAlignment="1">
      <alignment horizontal="center" vertical="center" wrapText="1"/>
    </xf>
    <xf numFmtId="0" fontId="91" fillId="18" borderId="3" xfId="0" applyFont="1" applyFill="1" applyBorder="1" applyAlignment="1">
      <alignment horizontal="center" vertical="center" wrapText="1"/>
    </xf>
    <xf numFmtId="0" fontId="91" fillId="0" borderId="17" xfId="0" applyFont="1" applyBorder="1" applyAlignment="1">
      <alignment horizontal="center" vertical="center" wrapText="1"/>
    </xf>
    <xf numFmtId="0" fontId="91" fillId="18" borderId="2" xfId="0" applyFont="1" applyFill="1" applyBorder="1" applyAlignment="1">
      <alignment horizontal="center" vertical="center" wrapText="1"/>
    </xf>
    <xf numFmtId="0" fontId="91" fillId="18" borderId="17" xfId="0" applyFont="1" applyFill="1" applyBorder="1" applyAlignment="1">
      <alignment horizontal="center" vertical="center" wrapText="1"/>
    </xf>
    <xf numFmtId="166" fontId="60" fillId="18" borderId="16" xfId="0" applyNumberFormat="1" applyFont="1" applyFill="1" applyBorder="1" applyAlignment="1">
      <alignment horizontal="center" vertical="top"/>
    </xf>
    <xf numFmtId="1" fontId="74" fillId="18" borderId="13" xfId="0" applyNumberFormat="1" applyFont="1" applyFill="1" applyBorder="1" applyAlignment="1">
      <alignment horizontal="center" vertical="center"/>
    </xf>
    <xf numFmtId="2" fontId="74" fillId="18" borderId="5" xfId="0" applyNumberFormat="1" applyFont="1" applyFill="1" applyBorder="1" applyAlignment="1">
      <alignment horizontal="center" vertical="center"/>
    </xf>
    <xf numFmtId="0" fontId="74" fillId="18" borderId="5" xfId="0" applyFont="1" applyFill="1" applyBorder="1" applyAlignment="1">
      <alignment horizontal="center" vertical="center"/>
    </xf>
    <xf numFmtId="0" fontId="0" fillId="18" borderId="2" xfId="0" applyFill="1" applyBorder="1" applyAlignment="1">
      <alignment vertical="center" wrapText="1"/>
    </xf>
    <xf numFmtId="0" fontId="75" fillId="18" borderId="1" xfId="0" applyFont="1" applyFill="1" applyBorder="1" applyAlignment="1">
      <alignment horizontal="center" vertical="center"/>
    </xf>
    <xf numFmtId="1" fontId="68" fillId="11" borderId="3" xfId="0" applyNumberFormat="1" applyFont="1" applyFill="1" applyBorder="1" applyAlignment="1">
      <alignment horizontal="center" vertical="center" wrapText="1"/>
    </xf>
    <xf numFmtId="0" fontId="91" fillId="0" borderId="5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top"/>
    </xf>
    <xf numFmtId="166" fontId="5" fillId="0" borderId="23" xfId="0" applyNumberFormat="1" applyFont="1" applyBorder="1" applyAlignment="1">
      <alignment horizontal="center" vertical="top"/>
    </xf>
    <xf numFmtId="166" fontId="14" fillId="0" borderId="1" xfId="0" applyNumberFormat="1" applyFont="1" applyBorder="1" applyAlignment="1">
      <alignment horizontal="center" vertical="top"/>
    </xf>
    <xf numFmtId="0" fontId="91" fillId="19" borderId="2" xfId="0" applyFont="1" applyFill="1" applyBorder="1" applyAlignment="1">
      <alignment horizontal="center" vertical="center" wrapText="1"/>
    </xf>
    <xf numFmtId="0" fontId="91" fillId="19" borderId="1" xfId="0" applyFont="1" applyFill="1" applyBorder="1" applyAlignment="1">
      <alignment horizontal="center" vertical="center" wrapText="1"/>
    </xf>
    <xf numFmtId="0" fontId="93" fillId="18" borderId="17" xfId="0" applyFont="1" applyFill="1" applyBorder="1" applyAlignment="1">
      <alignment horizontal="center" vertical="center" wrapText="1"/>
    </xf>
    <xf numFmtId="0" fontId="93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center" vertical="top"/>
    </xf>
    <xf numFmtId="0" fontId="7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9" fontId="36" fillId="8" borderId="4" xfId="0" applyNumberFormat="1" applyFont="1" applyFill="1" applyBorder="1" applyAlignment="1">
      <alignment horizontal="center" vertical="center" wrapText="1"/>
    </xf>
    <xf numFmtId="9" fontId="36" fillId="8" borderId="5" xfId="0" applyNumberFormat="1" applyFont="1" applyFill="1" applyBorder="1" applyAlignment="1">
      <alignment horizontal="center" vertical="center" wrapText="1"/>
    </xf>
    <xf numFmtId="9" fontId="36" fillId="10" borderId="4" xfId="0" applyNumberFormat="1" applyFont="1" applyFill="1" applyBorder="1" applyAlignment="1">
      <alignment horizontal="center" vertical="center" wrapText="1"/>
    </xf>
    <xf numFmtId="9" fontId="36" fillId="10" borderId="5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1" fillId="0" borderId="0" xfId="0" applyFont="1" applyAlignment="1">
      <alignment horizontal="left"/>
    </xf>
    <xf numFmtId="0" fontId="51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vertical="center" wrapText="1"/>
    </xf>
    <xf numFmtId="0" fontId="3" fillId="8" borderId="7" xfId="0" applyFont="1" applyFill="1" applyBorder="1" applyAlignment="1">
      <alignment vertical="center" wrapText="1"/>
    </xf>
    <xf numFmtId="0" fontId="3" fillId="8" borderId="14" xfId="0" applyFont="1" applyFill="1" applyBorder="1" applyAlignment="1">
      <alignment vertical="center" wrapText="1"/>
    </xf>
    <xf numFmtId="0" fontId="3" fillId="8" borderId="13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7" fillId="7" borderId="2" xfId="0" applyFont="1" applyFill="1" applyBorder="1" applyAlignment="1">
      <alignment horizontal="center" vertical="center" wrapText="1"/>
    </xf>
    <xf numFmtId="0" fontId="37" fillId="7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7" fillId="9" borderId="2" xfId="0" applyFont="1" applyFill="1" applyBorder="1" applyAlignment="1">
      <alignment horizontal="center" vertical="center"/>
    </xf>
    <xf numFmtId="0" fontId="37" fillId="9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 wrapText="1"/>
    </xf>
    <xf numFmtId="0" fontId="54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7" fillId="0" borderId="0" xfId="0" applyFont="1" applyAlignment="1">
      <alignment horizontal="right" vertical="center"/>
    </xf>
    <xf numFmtId="0" fontId="3" fillId="0" borderId="14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6" fillId="0" borderId="2" xfId="0" applyFont="1" applyBorder="1" applyAlignment="1">
      <alignment horizontal="left" vertical="center"/>
    </xf>
    <xf numFmtId="0" fontId="86" fillId="0" borderId="3" xfId="0" applyFont="1" applyBorder="1" applyAlignment="1">
      <alignment horizontal="left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87" fillId="0" borderId="2" xfId="0" applyFont="1" applyBorder="1" applyAlignment="1">
      <alignment horizontal="left" vertical="center"/>
    </xf>
    <xf numFmtId="0" fontId="87" fillId="0" borderId="3" xfId="0" applyFont="1" applyBorder="1" applyAlignment="1">
      <alignment horizontal="left" vertical="center"/>
    </xf>
    <xf numFmtId="0" fontId="43" fillId="0" borderId="2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88" fillId="0" borderId="2" xfId="0" applyFont="1" applyBorder="1" applyAlignment="1">
      <alignment horizontal="left" vertical="center"/>
    </xf>
    <xf numFmtId="0" fontId="88" fillId="0" borderId="3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3" fillId="0" borderId="8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6" fillId="0" borderId="11" xfId="0" applyFont="1" applyBorder="1" applyAlignment="1">
      <alignment horizontal="center"/>
    </xf>
    <xf numFmtId="0" fontId="56" fillId="4" borderId="2" xfId="0" applyFont="1" applyFill="1" applyBorder="1" applyAlignment="1">
      <alignment horizontal="center" vertical="center"/>
    </xf>
    <xf numFmtId="0" fontId="56" fillId="4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2" fillId="4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37" fillId="4" borderId="2" xfId="0" applyFont="1" applyFill="1" applyBorder="1" applyAlignment="1">
      <alignment horizontal="left" wrapText="1"/>
    </xf>
    <xf numFmtId="0" fontId="37" fillId="4" borderId="17" xfId="0" applyFont="1" applyFill="1" applyBorder="1" applyAlignment="1">
      <alignment horizontal="left" wrapText="1"/>
    </xf>
    <xf numFmtId="0" fontId="30" fillId="4" borderId="2" xfId="0" applyFont="1" applyFill="1" applyBorder="1" applyAlignment="1">
      <alignment horizontal="center" vertical="center"/>
    </xf>
    <xf numFmtId="0" fontId="30" fillId="4" borderId="17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7" fillId="4" borderId="12" xfId="0" applyFont="1" applyFill="1" applyBorder="1" applyAlignment="1">
      <alignment horizontal="center" vertical="center" wrapText="1"/>
    </xf>
    <xf numFmtId="0" fontId="37" fillId="4" borderId="13" xfId="0" applyFont="1" applyFill="1" applyBorder="1" applyAlignment="1">
      <alignment horizontal="center" vertical="center" wrapText="1"/>
    </xf>
    <xf numFmtId="0" fontId="84" fillId="0" borderId="2" xfId="0" applyFont="1" applyBorder="1" applyAlignment="1">
      <alignment horizontal="left" vertical="center"/>
    </xf>
    <xf numFmtId="0" fontId="84" fillId="0" borderId="3" xfId="0" applyFont="1" applyBorder="1" applyAlignment="1">
      <alignment horizontal="left" vertical="center"/>
    </xf>
    <xf numFmtId="0" fontId="40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85" fillId="0" borderId="2" xfId="0" applyFont="1" applyBorder="1" applyAlignment="1">
      <alignment horizontal="left" vertical="center"/>
    </xf>
    <xf numFmtId="0" fontId="85" fillId="0" borderId="3" xfId="0" applyFont="1" applyBorder="1" applyAlignment="1">
      <alignment horizontal="left" vertical="center"/>
    </xf>
    <xf numFmtId="0" fontId="41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45" fillId="0" borderId="2" xfId="0" applyFont="1" applyBorder="1" applyAlignment="1">
      <alignment horizontal="left"/>
    </xf>
    <xf numFmtId="0" fontId="45" fillId="0" borderId="3" xfId="0" applyFont="1" applyBorder="1" applyAlignment="1">
      <alignment horizontal="left"/>
    </xf>
    <xf numFmtId="0" fontId="45" fillId="0" borderId="2" xfId="0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83" fillId="0" borderId="2" xfId="0" applyFont="1" applyBorder="1" applyAlignment="1">
      <alignment horizontal="left" vertical="center"/>
    </xf>
    <xf numFmtId="0" fontId="83" fillId="0" borderId="3" xfId="0" applyFont="1" applyBorder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 wrapText="1"/>
    </xf>
    <xf numFmtId="0" fontId="76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vertical="center" textRotation="90" wrapText="1"/>
    </xf>
    <xf numFmtId="0" fontId="76" fillId="18" borderId="1" xfId="0" applyFont="1" applyFill="1" applyBorder="1" applyAlignment="1">
      <alignment horizontal="center" vertical="center" wrapText="1"/>
    </xf>
    <xf numFmtId="0" fontId="76" fillId="18" borderId="2" xfId="0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top"/>
    </xf>
    <xf numFmtId="0" fontId="13" fillId="0" borderId="14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center" textRotation="90" wrapText="1"/>
    </xf>
    <xf numFmtId="0" fontId="89" fillId="0" borderId="4" xfId="0" applyFont="1" applyBorder="1" applyAlignment="1">
      <alignment horizontal="center" vertical="center" textRotation="90" wrapText="1"/>
    </xf>
    <xf numFmtId="165" fontId="90" fillId="0" borderId="2" xfId="0" applyNumberFormat="1" applyFont="1" applyBorder="1" applyAlignment="1">
      <alignment horizontal="center" vertical="center"/>
    </xf>
    <xf numFmtId="165" fontId="90" fillId="0" borderId="17" xfId="0" applyNumberFormat="1" applyFont="1" applyBorder="1" applyAlignment="1">
      <alignment horizontal="center" vertical="center"/>
    </xf>
    <xf numFmtId="0" fontId="87" fillId="0" borderId="2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 vertical="center"/>
    </xf>
    <xf numFmtId="0" fontId="83" fillId="0" borderId="2" xfId="0" applyFont="1" applyBorder="1" applyAlignment="1">
      <alignment horizontal="center" vertical="center"/>
    </xf>
    <xf numFmtId="0" fontId="83" fillId="0" borderId="3" xfId="0" applyFont="1" applyBorder="1" applyAlignment="1">
      <alignment horizontal="center" vertical="center"/>
    </xf>
    <xf numFmtId="0" fontId="88" fillId="0" borderId="2" xfId="0" applyFont="1" applyBorder="1" applyAlignment="1">
      <alignment horizontal="center" vertical="center"/>
    </xf>
    <xf numFmtId="0" fontId="88" fillId="0" borderId="3" xfId="0" applyFont="1" applyBorder="1" applyAlignment="1">
      <alignment horizontal="center" vertical="center"/>
    </xf>
    <xf numFmtId="0" fontId="86" fillId="0" borderId="2" xfId="0" applyFont="1" applyBorder="1" applyAlignment="1">
      <alignment horizontal="center" vertical="center"/>
    </xf>
    <xf numFmtId="0" fontId="86" fillId="0" borderId="3" xfId="0" applyFont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84" fillId="0" borderId="3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left" wrapText="1"/>
    </xf>
    <xf numFmtId="0" fontId="49" fillId="4" borderId="17" xfId="0" applyFont="1" applyFill="1" applyBorder="1" applyAlignment="1">
      <alignment horizontal="left" wrapText="1"/>
    </xf>
    <xf numFmtId="0" fontId="63" fillId="0" borderId="0" xfId="0" applyFont="1" applyAlignment="1">
      <alignment horizontal="center" vertical="top"/>
    </xf>
    <xf numFmtId="0" fontId="85" fillId="0" borderId="2" xfId="0" applyFont="1" applyBorder="1" applyAlignment="1">
      <alignment horizontal="center" vertical="center"/>
    </xf>
    <xf numFmtId="0" fontId="85" fillId="0" borderId="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0" fontId="43" fillId="0" borderId="2" xfId="0" applyFont="1" applyBorder="1" applyAlignment="1">
      <alignment horizontal="left" vertical="center"/>
    </xf>
    <xf numFmtId="0" fontId="43" fillId="0" borderId="3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42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45" fillId="0" borderId="2" xfId="0" applyFont="1" applyBorder="1" applyAlignment="1">
      <alignment horizontal="left" vertical="center"/>
    </xf>
    <xf numFmtId="0" fontId="45" fillId="0" borderId="3" xfId="0" applyFont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0" fontId="42" fillId="0" borderId="3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left" vertical="center"/>
    </xf>
    <xf numFmtId="0" fontId="39" fillId="0" borderId="3" xfId="0" applyFont="1" applyBorder="1" applyAlignment="1">
      <alignment horizontal="left" vertical="center"/>
    </xf>
    <xf numFmtId="0" fontId="40" fillId="0" borderId="2" xfId="0" applyFont="1" applyBorder="1" applyAlignment="1">
      <alignment horizontal="left" vertical="center"/>
    </xf>
    <xf numFmtId="0" fontId="40" fillId="0" borderId="3" xfId="0" applyFont="1" applyBorder="1" applyAlignment="1">
      <alignment horizontal="left" vertical="center"/>
    </xf>
    <xf numFmtId="0" fontId="41" fillId="0" borderId="2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 textRotation="90" wrapText="1"/>
    </xf>
    <xf numFmtId="0" fontId="76" fillId="17" borderId="1" xfId="0" applyFont="1" applyFill="1" applyBorder="1" applyAlignment="1">
      <alignment horizontal="center" vertical="center" wrapText="1"/>
    </xf>
    <xf numFmtId="0" fontId="76" fillId="17" borderId="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top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7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8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75" fillId="0" borderId="1" xfId="0" applyFont="1" applyBorder="1" applyAlignment="1">
      <alignment horizontal="center" vertical="center" wrapText="1"/>
    </xf>
    <xf numFmtId="0" fontId="75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textRotation="90" wrapText="1"/>
    </xf>
    <xf numFmtId="0" fontId="17" fillId="0" borderId="4" xfId="0" applyFont="1" applyBorder="1" applyAlignment="1">
      <alignment horizontal="center" vertical="center" textRotation="90" wrapText="1"/>
    </xf>
    <xf numFmtId="0" fontId="75" fillId="18" borderId="1" xfId="0" applyFont="1" applyFill="1" applyBorder="1" applyAlignment="1">
      <alignment horizontal="center" vertical="center" wrapText="1"/>
    </xf>
    <xf numFmtId="0" fontId="75" fillId="18" borderId="2" xfId="0" applyFont="1" applyFill="1" applyBorder="1" applyAlignment="1">
      <alignment horizontal="center" vertical="center" wrapText="1"/>
    </xf>
    <xf numFmtId="165" fontId="75" fillId="0" borderId="1" xfId="0" applyNumberFormat="1" applyFont="1" applyBorder="1" applyAlignment="1">
      <alignment horizontal="center" vertical="center"/>
    </xf>
    <xf numFmtId="165" fontId="75" fillId="0" borderId="2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53" fillId="0" borderId="8" xfId="0" applyFont="1" applyBorder="1" applyAlignment="1">
      <alignment horizontal="left" vertical="top"/>
    </xf>
    <xf numFmtId="0" fontId="53" fillId="0" borderId="0" xfId="0" applyFont="1" applyAlignment="1">
      <alignment horizontal="left" vertical="top"/>
    </xf>
    <xf numFmtId="165" fontId="75" fillId="18" borderId="1" xfId="0" applyNumberFormat="1" applyFont="1" applyFill="1" applyBorder="1" applyAlignment="1">
      <alignment horizontal="center" vertical="center"/>
    </xf>
    <xf numFmtId="165" fontId="75" fillId="18" borderId="2" xfId="0" applyNumberFormat="1" applyFont="1" applyFill="1" applyBorder="1" applyAlignment="1">
      <alignment horizontal="center" vertical="center"/>
    </xf>
    <xf numFmtId="0" fontId="92" fillId="4" borderId="12" xfId="0" applyFont="1" applyFill="1" applyBorder="1" applyAlignment="1">
      <alignment horizontal="center" vertical="center" wrapText="1"/>
    </xf>
    <xf numFmtId="0" fontId="92" fillId="4" borderId="13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 wrapText="1"/>
    </xf>
    <xf numFmtId="0" fontId="77" fillId="0" borderId="2" xfId="0" applyFont="1" applyBorder="1" applyAlignment="1">
      <alignment horizontal="center" vertical="center" wrapText="1"/>
    </xf>
    <xf numFmtId="0" fontId="49" fillId="4" borderId="3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7" fillId="4" borderId="2" xfId="0" applyFont="1" applyFill="1" applyBorder="1" applyAlignment="1">
      <alignment horizontal="center" vertical="center" wrapText="1"/>
    </xf>
    <xf numFmtId="0" fontId="37" fillId="4" borderId="3" xfId="0" applyFont="1" applyFill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/>
    </xf>
    <xf numFmtId="0" fontId="77" fillId="0" borderId="1" xfId="0" applyFont="1" applyBorder="1" applyAlignment="1">
      <alignment horizontal="center" vertical="top" wrapText="1"/>
    </xf>
    <xf numFmtId="0" fontId="77" fillId="0" borderId="2" xfId="0" applyFont="1" applyBorder="1" applyAlignment="1">
      <alignment horizontal="center" vertical="top" wrapText="1"/>
    </xf>
    <xf numFmtId="0" fontId="11" fillId="15" borderId="4" xfId="0" applyFont="1" applyFill="1" applyBorder="1" applyAlignment="1">
      <alignment horizontal="center" vertical="center" textRotation="90" wrapText="1"/>
    </xf>
    <xf numFmtId="0" fontId="11" fillId="15" borderId="9" xfId="0" applyFont="1" applyFill="1" applyBorder="1" applyAlignment="1">
      <alignment horizontal="center" vertical="center" textRotation="90" wrapText="1"/>
    </xf>
    <xf numFmtId="0" fontId="75" fillId="0" borderId="1" xfId="0" applyFont="1" applyBorder="1" applyAlignment="1">
      <alignment horizontal="center" vertical="top" wrapText="1"/>
    </xf>
    <xf numFmtId="0" fontId="75" fillId="0" borderId="2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top" wrapText="1"/>
    </xf>
    <xf numFmtId="0" fontId="29" fillId="0" borderId="2" xfId="0" applyFont="1" applyBorder="1" applyAlignment="1">
      <alignment horizontal="center" vertical="top" wrapText="1"/>
    </xf>
    <xf numFmtId="0" fontId="75" fillId="0" borderId="1" xfId="0" applyFont="1" applyBorder="1" applyAlignment="1">
      <alignment horizontal="center" vertical="top"/>
    </xf>
    <xf numFmtId="0" fontId="75" fillId="0" borderId="2" xfId="0" applyFont="1" applyBorder="1" applyAlignment="1">
      <alignment horizontal="center" vertical="top"/>
    </xf>
    <xf numFmtId="0" fontId="75" fillId="0" borderId="17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78" fillId="0" borderId="0" xfId="0" applyFont="1" applyAlignment="1">
      <alignment horizontal="left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0" fontId="8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47" fillId="0" borderId="14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80" fillId="0" borderId="0" xfId="0" applyFont="1" applyAlignment="1">
      <alignment horizontal="center"/>
    </xf>
    <xf numFmtId="0" fontId="75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E1C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r>
              <a:rPr lang="km-KH" sz="1200" b="1">
                <a:latin typeface="Khmer OS Siemreap" panose="02000500000000020004" pitchFamily="2" charset="0"/>
                <a:cs typeface="Khmer OS Siemreap" panose="02000500000000020004" pitchFamily="2" charset="0"/>
              </a:rPr>
              <a:t>ប្រៀបធៀបលទ្ធផលការសិក្សា</a:t>
            </a:r>
            <a:r>
              <a:rPr lang="km-KH" sz="1200" b="1" i="0" u="none" strike="noStrike" baseline="0">
                <a:effectLst/>
              </a:rPr>
              <a:t>សរុប</a:t>
            </a:r>
            <a:r>
              <a:rPr lang="km-KH" sz="1200" b="1">
                <a:latin typeface="Khmer OS Siemreap" panose="02000500000000020004" pitchFamily="2" charset="0"/>
                <a:cs typeface="Khmer OS Siemreap" panose="02000500000000020004" pitchFamily="2" charset="0"/>
              </a:rPr>
              <a:t>របស់សិស្សបច្ចេកទេស</a:t>
            </a:r>
            <a:endParaRPr lang="en-US" sz="1200" b="1">
              <a:latin typeface="Khmer OS Siemreap" panose="02000500000000020004" pitchFamily="2" charset="0"/>
              <a:cs typeface="Khmer OS Siemreap" panose="020005000000000200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ប្រៀបធៀបលទ្ធផលសរុប!$A$15</c:f>
              <c:strCache>
                <c:ptCount val="1"/>
                <c:pt idx="0">
                  <c:v>ឆមាសទី១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multiLvlStrRef>
              <c:f>ប្រៀបធៀបលទ្ធផលសរុប!$B$12:$U$14</c:f>
              <c:multiLvlStrCache>
                <c:ptCount val="19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សិស្សប្រទ្បងធ្លាក់(F)</c:v>
                  </c:pt>
                  <c:pt idx="6">
                    <c:v>និទ្ទេសA</c:v>
                  </c:pt>
                  <c:pt idx="8">
                    <c:v>និទ្ទេសB</c:v>
                  </c:pt>
                  <c:pt idx="10">
                    <c:v>និទ្ទេសC</c:v>
                  </c:pt>
                  <c:pt idx="12">
                    <c:v>និទ្ទេសD</c:v>
                  </c:pt>
                  <c:pt idx="14">
                    <c:v>និទ្ទេសE</c:v>
                  </c:pt>
                  <c:pt idx="16">
                    <c:v>NA</c:v>
                  </c:pt>
                </c:lvl>
                <c:lvl>
                  <c:pt idx="0">
                    <c:v>សិស្សរៀនឆមាសទី១</c:v>
                  </c:pt>
                  <c:pt idx="2">
                    <c:v>សិស្សបានប្រទ្បង</c:v>
                  </c:pt>
                  <c:pt idx="6">
                    <c:v>និទ្ទេស</c:v>
                  </c:pt>
                  <c:pt idx="18">
                    <c:v>ផ្សេងៗ</c:v>
                  </c:pt>
                </c:lvl>
              </c:multiLvlStrCache>
            </c:multiLvlStrRef>
          </c:cat>
          <c:val>
            <c:numRef>
              <c:f>ប្រៀបធៀបលទ្ធផលសរុប!$B$15:$U$15</c:f>
              <c:numCache>
                <c:formatCode>[$-12000453]0</c:formatCode>
                <c:ptCount val="20"/>
                <c:pt idx="0">
                  <c:v>170</c:v>
                </c:pt>
                <c:pt idx="1">
                  <c:v>78</c:v>
                </c:pt>
                <c:pt idx="2">
                  <c:v>159</c:v>
                </c:pt>
                <c:pt idx="3">
                  <c:v>73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19</c:v>
                </c:pt>
                <c:pt idx="9">
                  <c:v>10</c:v>
                </c:pt>
                <c:pt idx="10">
                  <c:v>40</c:v>
                </c:pt>
                <c:pt idx="11">
                  <c:v>25</c:v>
                </c:pt>
                <c:pt idx="12">
                  <c:v>51</c:v>
                </c:pt>
                <c:pt idx="13">
                  <c:v>21</c:v>
                </c:pt>
                <c:pt idx="14">
                  <c:v>46</c:v>
                </c:pt>
                <c:pt idx="15">
                  <c:v>16</c:v>
                </c:pt>
                <c:pt idx="16">
                  <c:v>11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F0-4164-B089-A2E541C51286}"/>
            </c:ext>
          </c:extLst>
        </c:ser>
        <c:ser>
          <c:idx val="1"/>
          <c:order val="1"/>
          <c:tx>
            <c:strRef>
              <c:f>ប្រៀបធៀបលទ្ធផលសរុប!$A$16</c:f>
              <c:strCache>
                <c:ptCount val="1"/>
                <c:pt idx="0">
                  <c:v>ខែមីនា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multiLvlStrRef>
              <c:f>ប្រៀបធៀបលទ្ធផលសរុប!$B$12:$U$14</c:f>
              <c:multiLvlStrCache>
                <c:ptCount val="19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សិស្សប្រទ្បងធ្លាក់(F)</c:v>
                  </c:pt>
                  <c:pt idx="6">
                    <c:v>និទ្ទេសA</c:v>
                  </c:pt>
                  <c:pt idx="8">
                    <c:v>និទ្ទេសB</c:v>
                  </c:pt>
                  <c:pt idx="10">
                    <c:v>និទ្ទេសC</c:v>
                  </c:pt>
                  <c:pt idx="12">
                    <c:v>និទ្ទេសD</c:v>
                  </c:pt>
                  <c:pt idx="14">
                    <c:v>និទ្ទេសE</c:v>
                  </c:pt>
                  <c:pt idx="16">
                    <c:v>NA</c:v>
                  </c:pt>
                </c:lvl>
                <c:lvl>
                  <c:pt idx="0">
                    <c:v>សិស្សរៀនឆមាសទី១</c:v>
                  </c:pt>
                  <c:pt idx="2">
                    <c:v>សិស្សបានប្រទ្បង</c:v>
                  </c:pt>
                  <c:pt idx="6">
                    <c:v>និទ្ទេស</c:v>
                  </c:pt>
                  <c:pt idx="18">
                    <c:v>ផ្សេងៗ</c:v>
                  </c:pt>
                </c:lvl>
              </c:multiLvlStrCache>
            </c:multiLvlStrRef>
          </c:cat>
          <c:val>
            <c:numRef>
              <c:f>ប្រៀបធៀបលទ្ធផលសរុប!$B$16:$U$16</c:f>
              <c:numCache>
                <c:formatCode>General</c:formatCode>
                <c:ptCount val="20"/>
                <c:pt idx="0">
                  <c:v>159</c:v>
                </c:pt>
                <c:pt idx="1">
                  <c:v>73</c:v>
                </c:pt>
                <c:pt idx="2">
                  <c:v>146</c:v>
                </c:pt>
                <c:pt idx="3">
                  <c:v>67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30</c:v>
                </c:pt>
                <c:pt idx="9">
                  <c:v>20</c:v>
                </c:pt>
                <c:pt idx="10">
                  <c:v>38</c:v>
                </c:pt>
                <c:pt idx="11">
                  <c:v>26</c:v>
                </c:pt>
                <c:pt idx="12">
                  <c:v>39</c:v>
                </c:pt>
                <c:pt idx="13">
                  <c:v>14</c:v>
                </c:pt>
                <c:pt idx="14">
                  <c:v>38</c:v>
                </c:pt>
                <c:pt idx="15">
                  <c:v>7</c:v>
                </c:pt>
                <c:pt idx="16">
                  <c:v>5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F0-4164-B089-A2E541C51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399344"/>
        <c:axId val="1868398512"/>
      </c:lineChart>
      <c:catAx>
        <c:axId val="1868399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100" b="1"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និទ្ទេស</a:t>
                </a:r>
                <a:endParaRPr lang="en-US" sz="1100" b="1"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layout>
            <c:manualLayout>
              <c:xMode val="edge"/>
              <c:yMode val="edge"/>
              <c:x val="0.47276900152219165"/>
              <c:y val="0.87800817125956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398512"/>
        <c:crosses val="autoZero"/>
        <c:auto val="1"/>
        <c:lblAlgn val="ctr"/>
        <c:lblOffset val="100"/>
        <c:noMultiLvlLbl val="0"/>
      </c:catAx>
      <c:valAx>
        <c:axId val="18683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100" b="1"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ចំនួនសិស្ស</a:t>
                </a:r>
                <a:endParaRPr lang="en-US" sz="1100" b="1"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[$-12000453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399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5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5400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42" l="0.35" r="0.45" t="0.56000000000000005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r>
              <a:rPr lang="km-KH" sz="1200" b="1" i="0" baseline="0">
                <a:effectLst/>
                <a:latin typeface="Khmer OS Siemreap" panose="02000500000000020004" pitchFamily="2" charset="0"/>
                <a:cs typeface="Khmer OS Siemreap" panose="02000500000000020004" pitchFamily="2" charset="0"/>
              </a:rPr>
              <a:t>ស្ថិតិលទ្ធផលការសិក្សាសិស្សផ្នែក(ក)</a:t>
            </a:r>
            <a:endParaRPr lang="en-US" sz="1200">
              <a:effectLst/>
              <a:latin typeface="Khmer OS Siemreap" panose="02000500000000020004" pitchFamily="2" charset="0"/>
              <a:cs typeface="Khmer OS Siemreap" panose="020005000000000200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ក្រាបលទ្ធផលការសិក្សា!$A$13:$B$13</c:f>
              <c:strCache>
                <c:ptCount val="2"/>
                <c:pt idx="0">
                  <c:v>អគ្គិសនី</c:v>
                </c:pt>
                <c:pt idx="1">
                  <c:v>1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ក្រាបលទ្ធផលការសិក្សា!$C$10:$T$12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សិស្សប្រទ្បងធ្លាក់(F)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  <c:pt idx="16">
                    <c:v>NA</c:v>
                  </c:pt>
                </c:lvl>
                <c:lvl>
                  <c:pt idx="0">
                    <c:v>សិស្សរៀននៅឆមាសទី…</c:v>
                  </c:pt>
                  <c:pt idx="2">
                    <c:v>សិស្សបានប្រឡង</c:v>
                  </c:pt>
                  <c:pt idx="6">
                    <c:v>និទ្ទេស</c:v>
                  </c:pt>
                </c:lvl>
              </c:multiLvlStrCache>
            </c:multiLvlStrRef>
          </c:cat>
          <c:val>
            <c:numRef>
              <c:f>ក្រាបលទ្ធផលការសិក្សា!$C$13:$T$13</c:f>
              <c:numCache>
                <c:formatCode>General</c:formatCode>
                <c:ptCount val="18"/>
                <c:pt idx="0">
                  <c:v>22</c:v>
                </c:pt>
                <c:pt idx="1">
                  <c:v>5</c:v>
                </c:pt>
                <c:pt idx="2">
                  <c:v>17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  <c:pt idx="12">
                  <c:v>5</c:v>
                </c:pt>
                <c:pt idx="13">
                  <c:v>0</c:v>
                </c:pt>
                <c:pt idx="14">
                  <c:v>8</c:v>
                </c:pt>
                <c:pt idx="15">
                  <c:v>0</c:v>
                </c:pt>
                <c:pt idx="16">
                  <c:v>22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7-4651-911F-14DFD0915D9C}"/>
            </c:ext>
          </c:extLst>
        </c:ser>
        <c:ser>
          <c:idx val="1"/>
          <c:order val="1"/>
          <c:tx>
            <c:strRef>
              <c:f>ក្រាបលទ្ធផលការសិក្សា!$A$14:$B$14</c:f>
              <c:strCache>
                <c:ptCount val="2"/>
                <c:pt idx="0">
                  <c:v>អគ្គិសនី</c:v>
                </c:pt>
                <c:pt idx="1">
                  <c:v>2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ក្រាបលទ្ធផលការសិក្សា!$C$10:$T$12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សិស្សប្រទ្បងធ្លាក់(F)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  <c:pt idx="16">
                    <c:v>NA</c:v>
                  </c:pt>
                </c:lvl>
                <c:lvl>
                  <c:pt idx="0">
                    <c:v>សិស្សរៀននៅឆមាសទី…</c:v>
                  </c:pt>
                  <c:pt idx="2">
                    <c:v>សិស្សបានប្រឡង</c:v>
                  </c:pt>
                  <c:pt idx="6">
                    <c:v>និទ្ទេស</c:v>
                  </c:pt>
                </c:lvl>
              </c:multiLvlStrCache>
            </c:multiLvlStrRef>
          </c:cat>
          <c:val>
            <c:numRef>
              <c:f>ក្រាបលទ្ធផលការសិក្សា!$C$14:$T$14</c:f>
              <c:numCache>
                <c:formatCode>General</c:formatCode>
                <c:ptCount val="18"/>
                <c:pt idx="0">
                  <c:v>18</c:v>
                </c:pt>
                <c:pt idx="1">
                  <c:v>1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18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17-4651-911F-14DFD0915D9C}"/>
            </c:ext>
          </c:extLst>
        </c:ser>
        <c:ser>
          <c:idx val="2"/>
          <c:order val="2"/>
          <c:tx>
            <c:strRef>
              <c:f>ក្រាបលទ្ធផលការសិក្សា!$A$15:$B$15</c:f>
              <c:strCache>
                <c:ptCount val="2"/>
                <c:pt idx="0">
                  <c:v>អគ្គិសនី</c:v>
                </c:pt>
                <c:pt idx="1">
                  <c:v>3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ក្រាបលទ្ធផលការសិក្សា!$C$10:$T$12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សិស្សប្រទ្បងធ្លាក់(F)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  <c:pt idx="16">
                    <c:v>NA</c:v>
                  </c:pt>
                </c:lvl>
                <c:lvl>
                  <c:pt idx="0">
                    <c:v>សិស្សរៀននៅឆមាសទី…</c:v>
                  </c:pt>
                  <c:pt idx="2">
                    <c:v>សិស្សបានប្រឡង</c:v>
                  </c:pt>
                  <c:pt idx="6">
                    <c:v>និទ្ទេស</c:v>
                  </c:pt>
                </c:lvl>
              </c:multiLvlStrCache>
            </c:multiLvlStrRef>
          </c:cat>
          <c:val>
            <c:numRef>
              <c:f>ក្រាបលទ្ធផលការសិក្សា!$C$15:$T$15</c:f>
              <c:numCache>
                <c:formatCode>General</c:formatCode>
                <c:ptCount val="18"/>
                <c:pt idx="0">
                  <c:v>14</c:v>
                </c:pt>
                <c:pt idx="1">
                  <c:v>0</c:v>
                </c:pt>
                <c:pt idx="2">
                  <c:v>21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  <c:pt idx="12">
                  <c:v>7</c:v>
                </c:pt>
                <c:pt idx="13">
                  <c:v>2</c:v>
                </c:pt>
                <c:pt idx="14">
                  <c:v>11</c:v>
                </c:pt>
                <c:pt idx="15">
                  <c:v>1</c:v>
                </c:pt>
                <c:pt idx="16">
                  <c:v>14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17-4651-911F-14DFD0915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679247"/>
        <c:axId val="1151677167"/>
      </c:barChart>
      <c:catAx>
        <c:axId val="1151679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100" b="1" i="0" baseline="0">
                    <a:effectLst/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និទ្ទេស</a:t>
                </a:r>
                <a:endParaRPr lang="en-US" sz="1100">
                  <a:effectLst/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endParaRPr lang="en-US"/>
          </a:p>
        </c:txPr>
        <c:crossAx val="1151677167"/>
        <c:crosses val="autoZero"/>
        <c:auto val="1"/>
        <c:lblAlgn val="ctr"/>
        <c:lblOffset val="100"/>
        <c:noMultiLvlLbl val="0"/>
      </c:catAx>
      <c:valAx>
        <c:axId val="115167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050" b="1"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ចំនួនសិស្ស</a:t>
                </a:r>
                <a:endParaRPr lang="en-US" sz="1050" b="1"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7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72358350311107"/>
          <c:y val="0.25139545056867896"/>
          <c:w val="9.5932896499825629E-2"/>
          <c:h val="0.311537984835228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r>
              <a:rPr lang="km-KH" sz="1200" b="1" i="0" baseline="0">
                <a:effectLst/>
                <a:latin typeface="Khmer OS Siemreap" panose="02000500000000020004" pitchFamily="2" charset="0"/>
                <a:cs typeface="Khmer OS Siemreap" panose="02000500000000020004" pitchFamily="2" charset="0"/>
              </a:rPr>
              <a:t>ស្ថិតិលទ្ធផលការសិក្សាសិស្សផ្នែក(ខ)</a:t>
            </a:r>
            <a:endParaRPr lang="en-US" sz="1200">
              <a:effectLst/>
              <a:latin typeface="Khmer OS Siemreap" panose="02000500000000020004" pitchFamily="2" charset="0"/>
              <a:cs typeface="Khmer OS Siemreap" panose="020005000000000200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ក្រាបលទ្ធផលការសិក្សា!$A$30:$B$30</c:f>
              <c:strCache>
                <c:ptCount val="2"/>
                <c:pt idx="0">
                  <c:v>កុំព្យូទ័រ</c:v>
                </c:pt>
                <c:pt idx="1">
                  <c:v>1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ក្រាបលទ្ធផលការសិក្សា!$C$27:$T$29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  <c:pt idx="16">
                    <c:v>NA</c:v>
                  </c:pt>
                </c:lvl>
                <c:lvl>
                  <c:pt idx="0">
                    <c:v>សិស្សរៀននៅឆមាសទី…</c:v>
                  </c:pt>
                  <c:pt idx="2">
                    <c:v>សិស្សបានប្រឡង</c:v>
                  </c:pt>
                  <c:pt idx="6">
                    <c:v>និទ្ទេស</c:v>
                  </c:pt>
                </c:lvl>
              </c:multiLvlStrCache>
            </c:multiLvlStrRef>
          </c:cat>
          <c:val>
            <c:numRef>
              <c:f>ក្រាបលទ្ធផលការសិក្សា!$C$30:$T$30</c:f>
              <c:numCache>
                <c:formatCode>General</c:formatCode>
                <c:ptCount val="18"/>
                <c:pt idx="0">
                  <c:v>29</c:v>
                </c:pt>
                <c:pt idx="1">
                  <c:v>20</c:v>
                </c:pt>
                <c:pt idx="2">
                  <c:v>27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6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F-4A78-BEAC-174528B305D5}"/>
            </c:ext>
          </c:extLst>
        </c:ser>
        <c:ser>
          <c:idx val="1"/>
          <c:order val="1"/>
          <c:tx>
            <c:strRef>
              <c:f>ក្រាបលទ្ធផលការសិក្សា!$A$31:$B$31</c:f>
              <c:strCache>
                <c:ptCount val="2"/>
                <c:pt idx="0">
                  <c:v>កុំព្យូទ័រ</c:v>
                </c:pt>
                <c:pt idx="1">
                  <c:v>2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ក្រាបលទ្ធផលការសិក្សា!$C$27:$T$29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  <c:pt idx="16">
                    <c:v>NA</c:v>
                  </c:pt>
                </c:lvl>
                <c:lvl>
                  <c:pt idx="0">
                    <c:v>សិស្សរៀននៅឆមាសទី…</c:v>
                  </c:pt>
                  <c:pt idx="2">
                    <c:v>សិស្សបានប្រឡង</c:v>
                  </c:pt>
                  <c:pt idx="6">
                    <c:v>និទ្ទេស</c:v>
                  </c:pt>
                </c:lvl>
              </c:multiLvlStrCache>
            </c:multiLvlStrRef>
          </c:cat>
          <c:val>
            <c:numRef>
              <c:f>ក្រាបលទ្ធផលការសិក្សា!$C$31:$T$31</c:f>
              <c:numCache>
                <c:formatCode>General</c:formatCode>
                <c:ptCount val="18"/>
                <c:pt idx="0">
                  <c:v>27</c:v>
                </c:pt>
                <c:pt idx="1">
                  <c:v>19</c:v>
                </c:pt>
                <c:pt idx="2">
                  <c:v>24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F-4A78-BEAC-174528B305D5}"/>
            </c:ext>
          </c:extLst>
        </c:ser>
        <c:ser>
          <c:idx val="2"/>
          <c:order val="2"/>
          <c:tx>
            <c:strRef>
              <c:f>ក្រាបលទ្ធផលការសិក្សា!$A$32:$B$32</c:f>
              <c:strCache>
                <c:ptCount val="2"/>
                <c:pt idx="0">
                  <c:v>កុំព្យូទ័រ</c:v>
                </c:pt>
                <c:pt idx="1">
                  <c:v>3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ក្រាបលទ្ធផលការសិក្សា!$C$27:$T$29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  <c:pt idx="16">
                    <c:v>NA</c:v>
                  </c:pt>
                </c:lvl>
                <c:lvl>
                  <c:pt idx="0">
                    <c:v>សិស្សរៀននៅឆមាសទី…</c:v>
                  </c:pt>
                  <c:pt idx="2">
                    <c:v>សិស្សបានប្រឡង</c:v>
                  </c:pt>
                  <c:pt idx="6">
                    <c:v>និទ្ទេស</c:v>
                  </c:pt>
                </c:lvl>
              </c:multiLvlStrCache>
            </c:multiLvlStrRef>
          </c:cat>
          <c:val>
            <c:numRef>
              <c:f>ក្រាបលទ្ធផលការសិក្សា!$C$32:$T$32</c:f>
              <c:numCache>
                <c:formatCode>General</c:formatCode>
                <c:ptCount val="18"/>
                <c:pt idx="0">
                  <c:v>24</c:v>
                </c:pt>
                <c:pt idx="1">
                  <c:v>17</c:v>
                </c:pt>
                <c:pt idx="2">
                  <c:v>29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3</c:v>
                </c:pt>
                <c:pt idx="10">
                  <c:v>11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AF-4A78-BEAC-174528B30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0178367"/>
        <c:axId val="1300195007"/>
      </c:barChart>
      <c:catAx>
        <c:axId val="1300178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100" b="1"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និទ្ទេស</a:t>
                </a:r>
                <a:endParaRPr lang="en-US" sz="1100" b="1"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endParaRPr lang="en-US"/>
          </a:p>
        </c:txPr>
        <c:crossAx val="1300195007"/>
        <c:crosses val="autoZero"/>
        <c:auto val="1"/>
        <c:lblAlgn val="ctr"/>
        <c:lblOffset val="100"/>
        <c:noMultiLvlLbl val="0"/>
      </c:catAx>
      <c:valAx>
        <c:axId val="130019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100" b="1"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ចមនួនសិស្ស</a:t>
                </a:r>
                <a:endParaRPr lang="en-US" sz="1100" b="1"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42304460786435"/>
          <c:y val="0.19121026538349378"/>
          <c:w val="0.10327450963311061"/>
          <c:h val="0.334686132983377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r>
              <a:rPr lang="km-KH" sz="1200" b="1" i="0" baseline="0">
                <a:effectLst/>
                <a:latin typeface="Khmer OS Siemreap" panose="02000500000000020004" pitchFamily="2" charset="0"/>
                <a:cs typeface="Khmer OS Siemreap" panose="02000500000000020004" pitchFamily="2" charset="0"/>
              </a:rPr>
              <a:t>ស្ថិតិលទ្ធផលការសិក្សាសិស្សផ្នែក(គ)</a:t>
            </a:r>
            <a:endParaRPr lang="en-US" sz="1200">
              <a:effectLst/>
              <a:latin typeface="Khmer OS Siemreap" panose="02000500000000020004" pitchFamily="2" charset="0"/>
              <a:cs typeface="Khmer OS Siemreap" panose="020005000000000200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140029968510409E-2"/>
          <c:y val="0.29278460483493512"/>
          <c:w val="0.78848626659028909"/>
          <c:h val="0.34590107754149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ក្រាបលទ្ធផលការសិក្សា!$A$48:$B$48</c:f>
              <c:strCache>
                <c:ptCount val="2"/>
                <c:pt idx="0">
                  <c:v>មេកានិច</c:v>
                </c:pt>
                <c:pt idx="1">
                  <c:v>1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ក្រាបលទ្ធផលការសិក្សា!$C$45:$T$47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  <c:pt idx="16">
                    <c:v>NA</c:v>
                  </c:pt>
                </c:lvl>
                <c:lvl>
                  <c:pt idx="0">
                    <c:v>សិស្សរៀននៅឆមាសទី…</c:v>
                  </c:pt>
                  <c:pt idx="2">
                    <c:v>សិស្សបានប្រឡង</c:v>
                  </c:pt>
                  <c:pt idx="6">
                    <c:v>និទ្ទេស</c:v>
                  </c:pt>
                </c:lvl>
              </c:multiLvlStrCache>
            </c:multiLvlStrRef>
          </c:cat>
          <c:val>
            <c:numRef>
              <c:f>ក្រាបលទ្ធផលការសិក្សា!$C$48:$T$48</c:f>
              <c:numCache>
                <c:formatCode>General</c:formatCode>
                <c:ptCount val="18"/>
                <c:pt idx="0">
                  <c:v>10</c:v>
                </c:pt>
                <c:pt idx="1">
                  <c:v>6</c:v>
                </c:pt>
                <c:pt idx="2">
                  <c:v>14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5</c:v>
                </c:pt>
                <c:pt idx="13">
                  <c:v>1</c:v>
                </c:pt>
                <c:pt idx="14">
                  <c:v>5</c:v>
                </c:pt>
                <c:pt idx="15">
                  <c:v>2</c:v>
                </c:pt>
                <c:pt idx="16">
                  <c:v>10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8-4EE2-8EDB-4E0258DD7C87}"/>
            </c:ext>
          </c:extLst>
        </c:ser>
        <c:ser>
          <c:idx val="1"/>
          <c:order val="1"/>
          <c:tx>
            <c:strRef>
              <c:f>ក្រាបលទ្ធផលការសិក្សា!$A$49:$B$49</c:f>
              <c:strCache>
                <c:ptCount val="2"/>
                <c:pt idx="0">
                  <c:v>មេកានិច</c:v>
                </c:pt>
                <c:pt idx="1">
                  <c:v>2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ក្រាបលទ្ធផលការសិក្សា!$C$45:$T$47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  <c:pt idx="16">
                    <c:v>NA</c:v>
                  </c:pt>
                </c:lvl>
                <c:lvl>
                  <c:pt idx="0">
                    <c:v>សិស្សរៀននៅឆមាសទី…</c:v>
                  </c:pt>
                  <c:pt idx="2">
                    <c:v>សិស្សបានប្រឡង</c:v>
                  </c:pt>
                  <c:pt idx="6">
                    <c:v>និទ្ទេស</c:v>
                  </c:pt>
                </c:lvl>
              </c:multiLvlStrCache>
            </c:multiLvlStrRef>
          </c:cat>
          <c:val>
            <c:numRef>
              <c:f>ក្រាបលទ្ធផលការសិក្សា!$C$49:$T$49</c:f>
              <c:numCache>
                <c:formatCode>General</c:formatCode>
                <c:ptCount val="18"/>
                <c:pt idx="0">
                  <c:v>15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98-4EE2-8EDB-4E0258DD7C87}"/>
            </c:ext>
          </c:extLst>
        </c:ser>
        <c:ser>
          <c:idx val="2"/>
          <c:order val="2"/>
          <c:tx>
            <c:strRef>
              <c:f>ក្រាបលទ្ធផលការសិក្សា!$A$50:$B$50</c:f>
              <c:strCache>
                <c:ptCount val="2"/>
                <c:pt idx="0">
                  <c:v>មេកានិច</c:v>
                </c:pt>
                <c:pt idx="1">
                  <c:v>3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ក្រាបលទ្ធផលការសិក្សា!$C$45:$T$47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សិស្សប្រទ្បងជាប់</c:v>
                  </c:pt>
                  <c:pt idx="4">
                    <c:v>សិស្សប្រទ្បងធ្លាក់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  <c:pt idx="16">
                    <c:v>NA</c:v>
                  </c:pt>
                </c:lvl>
                <c:lvl>
                  <c:pt idx="0">
                    <c:v>សិស្សរៀននៅឆមាសទី…</c:v>
                  </c:pt>
                  <c:pt idx="2">
                    <c:v>សិស្សបានប្រឡង</c:v>
                  </c:pt>
                  <c:pt idx="6">
                    <c:v>និទ្ទេស</c:v>
                  </c:pt>
                </c:lvl>
              </c:multiLvlStrCache>
            </c:multiLvlStrRef>
          </c:cat>
          <c:val>
            <c:numRef>
              <c:f>ក្រាបលទ្ធផលការសិក្សា!$C$50:$T$50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98-4EE2-8EDB-4E0258DD7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674255"/>
        <c:axId val="1151674671"/>
      </c:barChart>
      <c:catAx>
        <c:axId val="1151674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100" b="1"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និទ្ទេស</a:t>
                </a:r>
                <a:endParaRPr lang="en-US" sz="1100" b="1"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endParaRPr lang="en-US"/>
          </a:p>
        </c:txPr>
        <c:crossAx val="1151674671"/>
        <c:crosses val="autoZero"/>
        <c:auto val="1"/>
        <c:lblAlgn val="ctr"/>
        <c:lblOffset val="100"/>
        <c:noMultiLvlLbl val="0"/>
      </c:catAx>
      <c:valAx>
        <c:axId val="11516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100" b="1"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ចំនួនសិស្ស</a:t>
                </a:r>
                <a:endParaRPr lang="en-US" sz="1100" b="1"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7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7490449110527846"/>
          <c:y val="0.2870637400439659"/>
          <c:w val="9.9169582968795564E-2"/>
          <c:h val="0.29984444804106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r>
              <a:rPr lang="km-KH" sz="1300" b="1">
                <a:latin typeface="Khmer OS Siemreap" panose="02000500000000020004" pitchFamily="2" charset="0"/>
                <a:cs typeface="Khmer OS Siemreap" panose="02000500000000020004" pitchFamily="2" charset="0"/>
              </a:rPr>
              <a:t>លទ្ធផលការសិក្សា</a:t>
            </a:r>
            <a:r>
              <a:rPr lang="km-KH" sz="1300" b="1" i="0" u="none" strike="noStrike" baseline="0">
                <a:effectLst/>
              </a:rPr>
              <a:t>សិស្ស</a:t>
            </a:r>
            <a:r>
              <a:rPr lang="km-KH" sz="1300" b="1">
                <a:latin typeface="Khmer OS Siemreap" panose="02000500000000020004" pitchFamily="2" charset="0"/>
                <a:cs typeface="Khmer OS Siemreap" panose="02000500000000020004" pitchFamily="2" charset="0"/>
              </a:rPr>
              <a:t>សរុបទាំង៣ជំនាញ</a:t>
            </a:r>
            <a:endParaRPr lang="en-US" sz="1300" b="1">
              <a:latin typeface="Khmer OS Siemreap" panose="02000500000000020004" pitchFamily="2" charset="0"/>
              <a:cs typeface="Khmer OS Siemreap" panose="02000500000000020004" pitchFamily="2" charset="0"/>
            </a:endParaRPr>
          </a:p>
        </c:rich>
      </c:tx>
      <c:layout>
        <c:manualLayout>
          <c:xMode val="edge"/>
          <c:yMode val="edge"/>
          <c:x val="0.360502545606015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ក្រាបលទ្ធផលសរុប!$A$12</c:f>
              <c:strCache>
                <c:ptCount val="1"/>
                <c:pt idx="0">
                  <c:v>អគ្គិសនី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ក្រាបលទ្ធផលសរុប!$B$9:$S$11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ប្រទ្បងជាប់</c:v>
                  </c:pt>
                  <c:pt idx="4">
                    <c:v>ប្រទ្បងធ្លាក់(F)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</c:lvl>
                <c:lvl>
                  <c:pt idx="0">
                    <c:v>សិស្សរៀនឆមាសទី ១</c:v>
                  </c:pt>
                  <c:pt idx="2">
                    <c:v>សិស្សបានប្រទ្បង</c:v>
                  </c:pt>
                  <c:pt idx="6">
                    <c:v>និទ្ទេស</c:v>
                  </c:pt>
                  <c:pt idx="16">
                    <c:v>NA</c:v>
                  </c:pt>
                </c:lvl>
              </c:multiLvlStrCache>
            </c:multiLvlStrRef>
          </c:cat>
          <c:val>
            <c:numRef>
              <c:f>ក្រាបលទ្ធផលសរុប!$B$12:$S$12</c:f>
              <c:numCache>
                <c:formatCode>General</c:formatCode>
                <c:ptCount val="18"/>
                <c:pt idx="0">
                  <c:v>54</c:v>
                </c:pt>
                <c:pt idx="1">
                  <c:v>6</c:v>
                </c:pt>
                <c:pt idx="2">
                  <c:v>52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  <c:pt idx="11">
                  <c:v>3</c:v>
                </c:pt>
                <c:pt idx="12">
                  <c:v>16</c:v>
                </c:pt>
                <c:pt idx="13">
                  <c:v>2</c:v>
                </c:pt>
                <c:pt idx="14">
                  <c:v>29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1-4A9A-BD7D-2A0E3D805F17}"/>
            </c:ext>
          </c:extLst>
        </c:ser>
        <c:ser>
          <c:idx val="1"/>
          <c:order val="1"/>
          <c:tx>
            <c:strRef>
              <c:f>ក្រាបលទ្ធផលសរុប!$A$14</c:f>
              <c:strCache>
                <c:ptCount val="1"/>
                <c:pt idx="0">
                  <c:v>កុំព្យូទរ័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ក្រាបលទ្ធផលសរុប!$B$9:$S$11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ប្រទ្បងជាប់</c:v>
                  </c:pt>
                  <c:pt idx="4">
                    <c:v>ប្រទ្បងធ្លាក់(F)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</c:lvl>
                <c:lvl>
                  <c:pt idx="0">
                    <c:v>សិស្សរៀនឆមាសទី ១</c:v>
                  </c:pt>
                  <c:pt idx="2">
                    <c:v>សិស្សបានប្រទ្បង</c:v>
                  </c:pt>
                  <c:pt idx="6">
                    <c:v>និទ្ទេស</c:v>
                  </c:pt>
                  <c:pt idx="16">
                    <c:v>NA</c:v>
                  </c:pt>
                </c:lvl>
              </c:multiLvlStrCache>
            </c:multiLvlStrRef>
          </c:cat>
          <c:val>
            <c:numRef>
              <c:f>ក្រាបលទ្ធផលសរុប!$B$14:$S$14</c:f>
              <c:numCache>
                <c:formatCode>General</c:formatCode>
                <c:ptCount val="18"/>
                <c:pt idx="0">
                  <c:v>80</c:v>
                </c:pt>
                <c:pt idx="1">
                  <c:v>56</c:v>
                </c:pt>
                <c:pt idx="2">
                  <c:v>80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28</c:v>
                </c:pt>
                <c:pt idx="9">
                  <c:v>20</c:v>
                </c:pt>
                <c:pt idx="10">
                  <c:v>29</c:v>
                </c:pt>
                <c:pt idx="11">
                  <c:v>21</c:v>
                </c:pt>
                <c:pt idx="12">
                  <c:v>0</c:v>
                </c:pt>
                <c:pt idx="13">
                  <c:v>11</c:v>
                </c:pt>
                <c:pt idx="14">
                  <c:v>4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1-4A9A-BD7D-2A0E3D805F17}"/>
            </c:ext>
          </c:extLst>
        </c:ser>
        <c:ser>
          <c:idx val="2"/>
          <c:order val="2"/>
          <c:tx>
            <c:strRef>
              <c:f>ក្រាបលទ្ធផលសរុប!$A$15</c:f>
              <c:strCache>
                <c:ptCount val="1"/>
                <c:pt idx="0">
                  <c:v>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ក្រាបលទ្ធផលសរុប!$B$9:$S$11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ប្រទ្បងជាប់</c:v>
                  </c:pt>
                  <c:pt idx="4">
                    <c:v>ប្រទ្បងធ្លាក់(F)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</c:lvl>
                <c:lvl>
                  <c:pt idx="0">
                    <c:v>សិស្សរៀនឆមាសទី ១</c:v>
                  </c:pt>
                  <c:pt idx="2">
                    <c:v>សិស្សបានប្រទ្បង</c:v>
                  </c:pt>
                  <c:pt idx="6">
                    <c:v>និទ្ទេស</c:v>
                  </c:pt>
                  <c:pt idx="16">
                    <c:v>NA</c:v>
                  </c:pt>
                </c:lvl>
              </c:multiLvlStrCache>
            </c:multiLvlStrRef>
          </c:cat>
          <c:val>
            <c:numRef>
              <c:f>ក្រាបលទ្ធផលសរុប!$B$15:$S$15</c:f>
            </c:numRef>
          </c:val>
          <c:extLst>
            <c:ext xmlns:c16="http://schemas.microsoft.com/office/drawing/2014/chart" uri="{C3380CC4-5D6E-409C-BE32-E72D297353CC}">
              <c16:uniqueId val="{00000002-1831-4A9A-BD7D-2A0E3D805F17}"/>
            </c:ext>
          </c:extLst>
        </c:ser>
        <c:ser>
          <c:idx val="3"/>
          <c:order val="3"/>
          <c:tx>
            <c:strRef>
              <c:f>ក្រាបលទ្ធផលសរុប!$A$16</c:f>
              <c:strCache>
                <c:ptCount val="1"/>
                <c:pt idx="0">
                  <c:v>ឃ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ក្រាបលទ្ធផលសរុប!$B$9:$S$11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ប្រទ្បងជាប់</c:v>
                  </c:pt>
                  <c:pt idx="4">
                    <c:v>ប្រទ្បងធ្លាក់(F)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</c:lvl>
                <c:lvl>
                  <c:pt idx="0">
                    <c:v>សិស្សរៀនឆមាសទី ១</c:v>
                  </c:pt>
                  <c:pt idx="2">
                    <c:v>សិស្សបានប្រទ្បង</c:v>
                  </c:pt>
                  <c:pt idx="6">
                    <c:v>និទ្ទេស</c:v>
                  </c:pt>
                  <c:pt idx="16">
                    <c:v>NA</c:v>
                  </c:pt>
                </c:lvl>
              </c:multiLvlStrCache>
            </c:multiLvlStrRef>
          </c:cat>
          <c:val>
            <c:numRef>
              <c:f>ក្រាបលទ្ធផលសរុប!$B$16:$S$16</c:f>
            </c:numRef>
          </c:val>
          <c:extLst>
            <c:ext xmlns:c16="http://schemas.microsoft.com/office/drawing/2014/chart" uri="{C3380CC4-5D6E-409C-BE32-E72D297353CC}">
              <c16:uniqueId val="{00000003-1831-4A9A-BD7D-2A0E3D805F17}"/>
            </c:ext>
          </c:extLst>
        </c:ser>
        <c:ser>
          <c:idx val="4"/>
          <c:order val="4"/>
          <c:tx>
            <c:strRef>
              <c:f>ក្រាបលទ្ធផលសរុប!$A$13</c:f>
              <c:strCache>
                <c:ptCount val="1"/>
                <c:pt idx="0">
                  <c:v>មេកានិច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ក្រាបលទ្ធផលសរុប!$B$9:$S$11</c:f>
              <c:multiLvlStrCache>
                <c:ptCount val="18"/>
                <c:lvl>
                  <c:pt idx="0">
                    <c:v>សរុប</c:v>
                  </c:pt>
                  <c:pt idx="1">
                    <c:v>ស្រី</c:v>
                  </c:pt>
                  <c:pt idx="2">
                    <c:v>សរុប</c:v>
                  </c:pt>
                  <c:pt idx="3">
                    <c:v>ស្រី</c:v>
                  </c:pt>
                  <c:pt idx="4">
                    <c:v>សរុប</c:v>
                  </c:pt>
                  <c:pt idx="5">
                    <c:v>ស្រី</c:v>
                  </c:pt>
                  <c:pt idx="6">
                    <c:v>សរុប</c:v>
                  </c:pt>
                  <c:pt idx="7">
                    <c:v>ស្រី</c:v>
                  </c:pt>
                  <c:pt idx="8">
                    <c:v>សរុប</c:v>
                  </c:pt>
                  <c:pt idx="9">
                    <c:v>ស្រី</c:v>
                  </c:pt>
                  <c:pt idx="10">
                    <c:v>សរុប</c:v>
                  </c:pt>
                  <c:pt idx="11">
                    <c:v>ស្រី</c:v>
                  </c:pt>
                  <c:pt idx="12">
                    <c:v>សរុប</c:v>
                  </c:pt>
                  <c:pt idx="13">
                    <c:v>ស្រី</c:v>
                  </c:pt>
                  <c:pt idx="14">
                    <c:v>សរុប</c:v>
                  </c:pt>
                  <c:pt idx="15">
                    <c:v>ស្រី</c:v>
                  </c:pt>
                  <c:pt idx="16">
                    <c:v>សរុប</c:v>
                  </c:pt>
                  <c:pt idx="17">
                    <c:v>ស្រី</c:v>
                  </c:pt>
                </c:lvl>
                <c:lvl>
                  <c:pt idx="2">
                    <c:v>ប្រទ្បងជាប់</c:v>
                  </c:pt>
                  <c:pt idx="4">
                    <c:v>ប្រទ្បងធ្លាក់(F)</c:v>
                  </c:pt>
                  <c:pt idx="6">
                    <c:v>A</c:v>
                  </c:pt>
                  <c:pt idx="8">
                    <c:v>B</c:v>
                  </c:pt>
                  <c:pt idx="10">
                    <c:v>C</c:v>
                  </c:pt>
                  <c:pt idx="12">
                    <c:v>D</c:v>
                  </c:pt>
                  <c:pt idx="14">
                    <c:v>E</c:v>
                  </c:pt>
                </c:lvl>
                <c:lvl>
                  <c:pt idx="0">
                    <c:v>សិស្សរៀនឆមាសទី ១</c:v>
                  </c:pt>
                  <c:pt idx="2">
                    <c:v>សិស្សបានប្រទ្បង</c:v>
                  </c:pt>
                  <c:pt idx="6">
                    <c:v>និទ្ទេស</c:v>
                  </c:pt>
                  <c:pt idx="16">
                    <c:v>NA</c:v>
                  </c:pt>
                </c:lvl>
              </c:multiLvlStrCache>
            </c:multiLvlStrRef>
          </c:cat>
          <c:val>
            <c:numRef>
              <c:f>ក្រាបលទ្ធផលសរុប!$B$13:$S$13</c:f>
              <c:numCache>
                <c:formatCode>General</c:formatCode>
                <c:ptCount val="18"/>
                <c:pt idx="0">
                  <c:v>25</c:v>
                </c:pt>
                <c:pt idx="1">
                  <c:v>11</c:v>
                </c:pt>
                <c:pt idx="2">
                  <c:v>14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5</c:v>
                </c:pt>
                <c:pt idx="13">
                  <c:v>1</c:v>
                </c:pt>
                <c:pt idx="14">
                  <c:v>5</c:v>
                </c:pt>
                <c:pt idx="15">
                  <c:v>2</c:v>
                </c:pt>
                <c:pt idx="16">
                  <c:v>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DD-4DE2-9972-064D1498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5296783"/>
        <c:axId val="565280143"/>
      </c:barChart>
      <c:catAx>
        <c:axId val="565296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100" b="1"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និទ្ទេស</a:t>
                </a:r>
                <a:endParaRPr lang="en-US" sz="1100" b="1"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layout>
            <c:manualLayout>
              <c:xMode val="edge"/>
              <c:yMode val="edge"/>
              <c:x val="0.47463744997172064"/>
              <c:y val="0.90365216281810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80143"/>
        <c:crosses val="autoZero"/>
        <c:auto val="1"/>
        <c:lblAlgn val="ctr"/>
        <c:lblOffset val="100"/>
        <c:noMultiLvlLbl val="0"/>
      </c:catAx>
      <c:valAx>
        <c:axId val="5652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hmer OS Siemreap" panose="02000500000000020004" pitchFamily="2" charset="0"/>
                    <a:ea typeface="+mn-ea"/>
                    <a:cs typeface="Khmer OS Siemreap" panose="02000500000000020004" pitchFamily="2" charset="0"/>
                  </a:defRPr>
                </a:pPr>
                <a:r>
                  <a:rPr lang="km-KH" sz="1100" b="1">
                    <a:latin typeface="Khmer OS Siemreap" panose="02000500000000020004" pitchFamily="2" charset="0"/>
                    <a:cs typeface="Khmer OS Siemreap" panose="02000500000000020004" pitchFamily="2" charset="0"/>
                  </a:rPr>
                  <a:t>ចំនួនសិស្ស</a:t>
                </a:r>
                <a:endParaRPr lang="en-US" sz="1100" b="1">
                  <a:latin typeface="Khmer OS Siemreap" panose="02000500000000020004" pitchFamily="2" charset="0"/>
                  <a:cs typeface="Khmer OS Siemreap" panose="02000500000000020004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hmer OS Siemreap" panose="02000500000000020004" pitchFamily="2" charset="0"/>
                  <a:ea typeface="+mn-ea"/>
                  <a:cs typeface="Khmer OS Siemreap" panose="02000500000000020004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96783"/>
        <c:crosses val="autoZero"/>
        <c:crossBetween val="between"/>
      </c:val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" panose="02000500000000020004" pitchFamily="2" charset="0"/>
                <a:ea typeface="+mn-ea"/>
                <a:cs typeface="Khmer OS Siemreap" panose="02000500000000020004" pitchFamily="2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37</xdr:row>
      <xdr:rowOff>0</xdr:rowOff>
    </xdr:from>
    <xdr:to>
      <xdr:col>15</xdr:col>
      <xdr:colOff>259080</xdr:colOff>
      <xdr:row>47</xdr:row>
      <xdr:rowOff>266700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82AE98-25DE-48E3-BC4E-F8500077A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67</xdr:row>
      <xdr:rowOff>255270</xdr:rowOff>
    </xdr:from>
    <xdr:to>
      <xdr:col>21</xdr:col>
      <xdr:colOff>390525</xdr:colOff>
      <xdr:row>72</xdr:row>
      <xdr:rowOff>188626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0DB143-925E-4CE4-8848-BD556048B949}"/>
            </a:ext>
          </a:extLst>
        </xdr:cNvPr>
        <xdr:cNvSpPr txBox="1"/>
      </xdr:nvSpPr>
      <xdr:spPr>
        <a:xfrm>
          <a:off x="1" y="18457545"/>
          <a:ext cx="10163174" cy="1152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0" i="0" u="none" strike="noStrike">
            <a:solidFill>
              <a:schemeClr val="dk1"/>
            </a:solidFill>
            <a:effectLst/>
            <a:latin typeface="!Khmer OS Siemreap" panose="02000500000000020004" pitchFamily="2" charset="0"/>
            <a:ea typeface="+mn-ea"/>
            <a:cs typeface="!Khmer OS Siemreap" panose="0200050000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172609</xdr:colOff>
      <xdr:row>46</xdr:row>
      <xdr:rowOff>139482</xdr:rowOff>
    </xdr:from>
    <xdr:to>
      <xdr:col>8</xdr:col>
      <xdr:colOff>7952</xdr:colOff>
      <xdr:row>49</xdr:row>
      <xdr:rowOff>175383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9004D5E-E536-4519-8ED4-0B89B88AA610}"/>
            </a:ext>
          </a:extLst>
        </xdr:cNvPr>
        <xdr:cNvGrpSpPr/>
      </xdr:nvGrpSpPr>
      <xdr:grpSpPr>
        <a:xfrm>
          <a:off x="2094174" y="12149265"/>
          <a:ext cx="1690648" cy="930422"/>
          <a:chOff x="720586" y="21634175"/>
          <a:chExt cx="2486962" cy="14498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77BC416-EBA6-0218-AE47-75EEE40C4C9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098" b="30480"/>
          <a:stretch/>
        </xdr:blipFill>
        <xdr:spPr>
          <a:xfrm>
            <a:off x="1027473" y="22236203"/>
            <a:ext cx="1847021" cy="746601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5BAB86F0-1658-FA32-13C2-252BC47B6BA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378" t="2841" r="23274" b="166"/>
          <a:stretch/>
        </xdr:blipFill>
        <xdr:spPr>
          <a:xfrm>
            <a:off x="720586" y="21634175"/>
            <a:ext cx="1311789" cy="1316934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5E07CF5-61EC-83A6-9470-21F46977DDDF}"/>
              </a:ext>
            </a:extLst>
          </xdr:cNvPr>
          <xdr:cNvSpPr txBox="1"/>
        </xdr:nvSpPr>
        <xdr:spPr>
          <a:xfrm>
            <a:off x="1794132" y="22645015"/>
            <a:ext cx="1413416" cy="4389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20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សយ</a:t>
            </a:r>
            <a:r>
              <a:rPr lang="km-KH" sz="1200" baseline="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 ថាត</a:t>
            </a:r>
            <a:endParaRPr lang="en-US" sz="1100">
              <a:solidFill>
                <a:srgbClr val="FF0000"/>
              </a:solidFill>
              <a:latin typeface="Khmer OS Moul" panose="02000500000000000000" pitchFamily="2" charset="0"/>
              <a:cs typeface="Khmer OS Moul" panose="02000500000000000000" pitchFamily="2" charset="0"/>
            </a:endParaRPr>
          </a:p>
        </xdr:txBody>
      </xdr:sp>
    </xdr:grpSp>
    <xdr:clientData/>
  </xdr:twoCellAnchor>
  <xdr:twoCellAnchor>
    <xdr:from>
      <xdr:col>17</xdr:col>
      <xdr:colOff>45720</xdr:colOff>
      <xdr:row>46</xdr:row>
      <xdr:rowOff>100054</xdr:rowOff>
    </xdr:from>
    <xdr:to>
      <xdr:col>21</xdr:col>
      <xdr:colOff>342900</xdr:colOff>
      <xdr:row>49</xdr:row>
      <xdr:rowOff>31986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9A8249A-12A3-44F8-BF3E-66070D858541}"/>
            </a:ext>
          </a:extLst>
        </xdr:cNvPr>
        <xdr:cNvGrpSpPr/>
      </xdr:nvGrpSpPr>
      <xdr:grpSpPr>
        <a:xfrm>
          <a:off x="6878872" y="12109837"/>
          <a:ext cx="2227028" cy="826453"/>
          <a:chOff x="8365672" y="14336486"/>
          <a:chExt cx="1832066" cy="84908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96B8FDA6-793E-1875-3C8B-5D72E26E569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E17B3CE-9DB5-AD82-44AC-340A68B8890B}"/>
              </a:ext>
            </a:extLst>
          </xdr:cNvPr>
          <xdr:cNvSpPr txBox="1"/>
        </xdr:nvSpPr>
        <xdr:spPr>
          <a:xfrm>
            <a:off x="9459686" y="14875329"/>
            <a:ext cx="691243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265071</xdr:colOff>
      <xdr:row>49</xdr:row>
      <xdr:rowOff>64818</xdr:rowOff>
    </xdr:from>
    <xdr:to>
      <xdr:col>8</xdr:col>
      <xdr:colOff>163471</xdr:colOff>
      <xdr:row>53</xdr:row>
      <xdr:rowOff>156068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410C5D-B042-42BD-96DB-B25E6FDA172F}"/>
            </a:ext>
          </a:extLst>
        </xdr:cNvPr>
        <xdr:cNvGrpSpPr/>
      </xdr:nvGrpSpPr>
      <xdr:grpSpPr>
        <a:xfrm>
          <a:off x="2170071" y="14958454"/>
          <a:ext cx="1751445" cy="1225591"/>
          <a:chOff x="720586" y="21634175"/>
          <a:chExt cx="2476501" cy="177247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16394D2-A416-59A2-9BC3-4AA16D772D0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098" b="30480"/>
          <a:stretch/>
        </xdr:blipFill>
        <xdr:spPr>
          <a:xfrm>
            <a:off x="985630" y="22379607"/>
            <a:ext cx="1847021" cy="746601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C9572E0-D403-1C1B-5AD4-11AF9D5986D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378" t="2841" r="23274" b="166"/>
          <a:stretch/>
        </xdr:blipFill>
        <xdr:spPr>
          <a:xfrm>
            <a:off x="720586" y="21634175"/>
            <a:ext cx="1311789" cy="1316934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6F07EDB-6BBC-B661-E4B6-927D9E40B964}"/>
              </a:ext>
            </a:extLst>
          </xdr:cNvPr>
          <xdr:cNvSpPr txBox="1"/>
        </xdr:nvSpPr>
        <xdr:spPr>
          <a:xfrm>
            <a:off x="1910790" y="22967674"/>
            <a:ext cx="1286297" cy="4389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20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សយ</a:t>
            </a:r>
            <a:r>
              <a:rPr lang="km-KH" sz="1200" baseline="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 ថាត</a:t>
            </a:r>
            <a:endParaRPr lang="en-US" sz="1100">
              <a:solidFill>
                <a:srgbClr val="FF0000"/>
              </a:solidFill>
              <a:latin typeface="Khmer OS Moul" panose="02000500000000000000" pitchFamily="2" charset="0"/>
              <a:cs typeface="Khmer OS Moul" panose="02000500000000000000" pitchFamily="2" charset="0"/>
            </a:endParaRPr>
          </a:p>
        </xdr:txBody>
      </xdr:sp>
    </xdr:grpSp>
    <xdr:clientData/>
  </xdr:twoCellAnchor>
  <xdr:twoCellAnchor>
    <xdr:from>
      <xdr:col>17</xdr:col>
      <xdr:colOff>8965</xdr:colOff>
      <xdr:row>49</xdr:row>
      <xdr:rowOff>268942</xdr:rowOff>
    </xdr:from>
    <xdr:to>
      <xdr:col>21</xdr:col>
      <xdr:colOff>313765</xdr:colOff>
      <xdr:row>52</xdr:row>
      <xdr:rowOff>195943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B37FB8A-6E05-4AD1-8A66-63286A9B527F}"/>
            </a:ext>
          </a:extLst>
        </xdr:cNvPr>
        <xdr:cNvGrpSpPr/>
      </xdr:nvGrpSpPr>
      <xdr:grpSpPr>
        <a:xfrm>
          <a:off x="7221988" y="15162578"/>
          <a:ext cx="2001982" cy="792910"/>
          <a:chOff x="8365672" y="14336486"/>
          <a:chExt cx="1832066" cy="84908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76B83AB-0D59-C8F3-2F16-2BA622AE6E1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90614A9-FB4C-C310-DB39-5EA235741B90}"/>
              </a:ext>
            </a:extLst>
          </xdr:cNvPr>
          <xdr:cNvSpPr txBox="1"/>
        </xdr:nvSpPr>
        <xdr:spPr>
          <a:xfrm>
            <a:off x="9459686" y="14875329"/>
            <a:ext cx="691243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241149</xdr:colOff>
      <xdr:row>56</xdr:row>
      <xdr:rowOff>221674</xdr:rowOff>
    </xdr:from>
    <xdr:to>
      <xdr:col>8</xdr:col>
      <xdr:colOff>41565</xdr:colOff>
      <xdr:row>61</xdr:row>
      <xdr:rowOff>90056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658B22B-6277-408C-BA1C-9F66E0FDADD6}"/>
            </a:ext>
          </a:extLst>
        </xdr:cNvPr>
        <xdr:cNvGrpSpPr/>
      </xdr:nvGrpSpPr>
      <xdr:grpSpPr>
        <a:xfrm>
          <a:off x="2172126" y="15392401"/>
          <a:ext cx="1705416" cy="1167246"/>
          <a:chOff x="720586" y="21634175"/>
          <a:chExt cx="2476501" cy="177247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00C1743-6505-610E-1A95-8B010B57C4F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098" b="30480"/>
          <a:stretch/>
        </xdr:blipFill>
        <xdr:spPr>
          <a:xfrm>
            <a:off x="985630" y="22379607"/>
            <a:ext cx="1847021" cy="746601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5AA077A-758A-AA7D-74AC-554019696EF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378" t="2841" r="23274" b="166"/>
          <a:stretch/>
        </xdr:blipFill>
        <xdr:spPr>
          <a:xfrm>
            <a:off x="720586" y="21634175"/>
            <a:ext cx="1311789" cy="1316934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9160505-9B57-5FCD-8844-8582C7CF879F}"/>
              </a:ext>
            </a:extLst>
          </xdr:cNvPr>
          <xdr:cNvSpPr txBox="1"/>
        </xdr:nvSpPr>
        <xdr:spPr>
          <a:xfrm>
            <a:off x="1927031" y="22967673"/>
            <a:ext cx="1270056" cy="4389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20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សយ</a:t>
            </a:r>
            <a:r>
              <a:rPr lang="km-KH" sz="1200" baseline="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 ថាត</a:t>
            </a:r>
            <a:endParaRPr lang="en-US" sz="1100">
              <a:solidFill>
                <a:srgbClr val="FF0000"/>
              </a:solidFill>
              <a:latin typeface="Khmer OS Moul" panose="02000500000000000000" pitchFamily="2" charset="0"/>
              <a:cs typeface="Khmer OS Moul" panose="02000500000000000000" pitchFamily="2" charset="0"/>
            </a:endParaRPr>
          </a:p>
        </xdr:txBody>
      </xdr:sp>
    </xdr:grpSp>
    <xdr:clientData/>
  </xdr:twoCellAnchor>
  <xdr:twoCellAnchor>
    <xdr:from>
      <xdr:col>17</xdr:col>
      <xdr:colOff>190500</xdr:colOff>
      <xdr:row>57</xdr:row>
      <xdr:rowOff>129540</xdr:rowOff>
    </xdr:from>
    <xdr:to>
      <xdr:col>21</xdr:col>
      <xdr:colOff>381000</xdr:colOff>
      <xdr:row>60</xdr:row>
      <xdr:rowOff>61472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28E686E-5FD3-4DE3-92F6-38390567DA5E}"/>
            </a:ext>
          </a:extLst>
        </xdr:cNvPr>
        <xdr:cNvGrpSpPr/>
      </xdr:nvGrpSpPr>
      <xdr:grpSpPr>
        <a:xfrm>
          <a:off x="7109114" y="15577358"/>
          <a:ext cx="1930111" cy="685273"/>
          <a:chOff x="8365672" y="14336486"/>
          <a:chExt cx="1832066" cy="84908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E8D0453-CCE2-EA8F-8D8F-429C3D41809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420A443-471A-4561-50CA-965B90267464}"/>
              </a:ext>
            </a:extLst>
          </xdr:cNvPr>
          <xdr:cNvSpPr txBox="1"/>
        </xdr:nvSpPr>
        <xdr:spPr>
          <a:xfrm>
            <a:off x="9459686" y="14875329"/>
            <a:ext cx="691243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132852</xdr:colOff>
      <xdr:row>50</xdr:row>
      <xdr:rowOff>182874</xdr:rowOff>
    </xdr:from>
    <xdr:to>
      <xdr:col>8</xdr:col>
      <xdr:colOff>152400</xdr:colOff>
      <xdr:row>54</xdr:row>
      <xdr:rowOff>29600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304B71-DEA7-4DB6-8303-B44485B0F5E0}"/>
            </a:ext>
          </a:extLst>
        </xdr:cNvPr>
        <xdr:cNvGrpSpPr/>
      </xdr:nvGrpSpPr>
      <xdr:grpSpPr>
        <a:xfrm>
          <a:off x="2199777" y="13003524"/>
          <a:ext cx="2000748" cy="1027826"/>
          <a:chOff x="720586" y="21634175"/>
          <a:chExt cx="2658029" cy="1493586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56E70A6-74AE-DC7B-DF67-626191EFA0F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098" b="30480"/>
          <a:stretch/>
        </xdr:blipFill>
        <xdr:spPr>
          <a:xfrm>
            <a:off x="985630" y="22379607"/>
            <a:ext cx="1847021" cy="746601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7447300-4E34-FB58-AFA6-914A67BA626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378" t="2841" r="23274" b="166"/>
          <a:stretch/>
        </xdr:blipFill>
        <xdr:spPr>
          <a:xfrm>
            <a:off x="720586" y="21634175"/>
            <a:ext cx="1311789" cy="1316934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9AFCB46-DB9D-95D7-202D-9B84A7E2BFD1}"/>
              </a:ext>
            </a:extLst>
          </xdr:cNvPr>
          <xdr:cNvSpPr txBox="1"/>
        </xdr:nvSpPr>
        <xdr:spPr>
          <a:xfrm>
            <a:off x="1965200" y="22688782"/>
            <a:ext cx="1413415" cy="4389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20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សយ</a:t>
            </a:r>
            <a:r>
              <a:rPr lang="km-KH" sz="1200" baseline="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 ថាត</a:t>
            </a:r>
            <a:endParaRPr lang="en-US" sz="1100">
              <a:solidFill>
                <a:srgbClr val="FF0000"/>
              </a:solidFill>
              <a:latin typeface="Khmer OS Moul" panose="02000500000000000000" pitchFamily="2" charset="0"/>
              <a:cs typeface="Khmer OS Moul" panose="02000500000000000000" pitchFamily="2" charset="0"/>
            </a:endParaRPr>
          </a:p>
        </xdr:txBody>
      </xdr:sp>
    </xdr:grpSp>
    <xdr:clientData/>
  </xdr:twoCellAnchor>
  <xdr:twoCellAnchor>
    <xdr:from>
      <xdr:col>17</xdr:col>
      <xdr:colOff>45720</xdr:colOff>
      <xdr:row>51</xdr:row>
      <xdr:rowOff>100054</xdr:rowOff>
    </xdr:from>
    <xdr:to>
      <xdr:col>21</xdr:col>
      <xdr:colOff>342900</xdr:colOff>
      <xdr:row>54</xdr:row>
      <xdr:rowOff>31986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24CC445-F470-4E87-94CD-E4B3A6F3D473}"/>
            </a:ext>
          </a:extLst>
        </xdr:cNvPr>
        <xdr:cNvGrpSpPr/>
      </xdr:nvGrpSpPr>
      <xdr:grpSpPr>
        <a:xfrm>
          <a:off x="7341870" y="13206454"/>
          <a:ext cx="2364105" cy="827282"/>
          <a:chOff x="8365672" y="14336486"/>
          <a:chExt cx="1832066" cy="84908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CFBAFDFF-E3FC-BF29-C675-9F4E77273DB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C599B5B-13E6-2ADA-C811-D1F27872BDA2}"/>
              </a:ext>
            </a:extLst>
          </xdr:cNvPr>
          <xdr:cNvSpPr txBox="1"/>
        </xdr:nvSpPr>
        <xdr:spPr>
          <a:xfrm>
            <a:off x="9459686" y="14875329"/>
            <a:ext cx="691243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47</xdr:row>
      <xdr:rowOff>0</xdr:rowOff>
    </xdr:from>
    <xdr:to>
      <xdr:col>9</xdr:col>
      <xdr:colOff>129540</xdr:colOff>
      <xdr:row>54</xdr:row>
      <xdr:rowOff>9452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8CD5CA7-6010-4F0C-8A26-18ADB37553EB}"/>
            </a:ext>
          </a:extLst>
        </xdr:cNvPr>
        <xdr:cNvGrpSpPr/>
      </xdr:nvGrpSpPr>
      <xdr:grpSpPr>
        <a:xfrm>
          <a:off x="2008036" y="15505043"/>
          <a:ext cx="2411895" cy="1740518"/>
          <a:chOff x="720586" y="21634175"/>
          <a:chExt cx="2476501" cy="177247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33CF161B-409E-8318-D327-71A2E1FBA27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098" b="30480"/>
          <a:stretch/>
        </xdr:blipFill>
        <xdr:spPr>
          <a:xfrm>
            <a:off x="985630" y="22379607"/>
            <a:ext cx="1847021" cy="746601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A357B9C-4D64-C1D7-9B43-3A95648D67B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378" t="2841" r="23274" b="166"/>
          <a:stretch/>
        </xdr:blipFill>
        <xdr:spPr>
          <a:xfrm>
            <a:off x="720586" y="21634175"/>
            <a:ext cx="1311789" cy="1316934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30542CC5-C121-DD07-814C-7237A8F37856}"/>
              </a:ext>
            </a:extLst>
          </xdr:cNvPr>
          <xdr:cNvSpPr txBox="1"/>
        </xdr:nvSpPr>
        <xdr:spPr>
          <a:xfrm>
            <a:off x="2178326" y="22967674"/>
            <a:ext cx="1018761" cy="4389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20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សយ</a:t>
            </a:r>
            <a:r>
              <a:rPr lang="km-KH" sz="1200" baseline="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 ថាត</a:t>
            </a:r>
            <a:endParaRPr lang="en-US" sz="1100">
              <a:solidFill>
                <a:srgbClr val="FF0000"/>
              </a:solidFill>
              <a:latin typeface="Khmer OS Moul" panose="02000500000000000000" pitchFamily="2" charset="0"/>
              <a:cs typeface="Khmer OS Moul" panose="02000500000000000000" pitchFamily="2" charset="0"/>
            </a:endParaRPr>
          </a:p>
        </xdr:txBody>
      </xdr:sp>
    </xdr:grpSp>
    <xdr:clientData/>
  </xdr:twoCellAnchor>
  <xdr:twoCellAnchor>
    <xdr:from>
      <xdr:col>17</xdr:col>
      <xdr:colOff>45720</xdr:colOff>
      <xdr:row>47</xdr:row>
      <xdr:rowOff>182880</xdr:rowOff>
    </xdr:from>
    <xdr:to>
      <xdr:col>21</xdr:col>
      <xdr:colOff>342900</xdr:colOff>
      <xdr:row>50</xdr:row>
      <xdr:rowOff>114812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47F644B-E3C4-4A4B-8DE2-9E6DB4F4CC2F}"/>
            </a:ext>
          </a:extLst>
        </xdr:cNvPr>
        <xdr:cNvGrpSpPr/>
      </xdr:nvGrpSpPr>
      <xdr:grpSpPr>
        <a:xfrm>
          <a:off x="7367546" y="15687923"/>
          <a:ext cx="1870876" cy="826454"/>
          <a:chOff x="8365672" y="14336486"/>
          <a:chExt cx="1832066" cy="84908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D3F006A6-8594-4D89-C8E7-35719F657F4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060ADBE-1739-3F05-4F16-E380E259995E}"/>
              </a:ext>
            </a:extLst>
          </xdr:cNvPr>
          <xdr:cNvSpPr txBox="1"/>
        </xdr:nvSpPr>
        <xdr:spPr>
          <a:xfrm>
            <a:off x="9459686" y="14875329"/>
            <a:ext cx="691243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94211</xdr:colOff>
      <xdr:row>56</xdr:row>
      <xdr:rowOff>85205</xdr:rowOff>
    </xdr:from>
    <xdr:to>
      <xdr:col>9</xdr:col>
      <xdr:colOff>236913</xdr:colOff>
      <xdr:row>63</xdr:row>
      <xdr:rowOff>99506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D49FDBC-73EB-4860-8960-BFAD25055940}"/>
            </a:ext>
          </a:extLst>
        </xdr:cNvPr>
        <xdr:cNvGrpSpPr/>
      </xdr:nvGrpSpPr>
      <xdr:grpSpPr>
        <a:xfrm>
          <a:off x="2210878" y="17884447"/>
          <a:ext cx="2384444" cy="1765362"/>
          <a:chOff x="720586" y="21634175"/>
          <a:chExt cx="2476501" cy="177247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29E2C5B-B104-EC64-8F1D-7776EF559C2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098" b="30480"/>
          <a:stretch/>
        </xdr:blipFill>
        <xdr:spPr>
          <a:xfrm>
            <a:off x="985630" y="22379607"/>
            <a:ext cx="1847021" cy="746601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48F2161-6715-7E86-9F78-C9D20491684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378" t="2841" r="23274" b="166"/>
          <a:stretch/>
        </xdr:blipFill>
        <xdr:spPr>
          <a:xfrm>
            <a:off x="720586" y="21634175"/>
            <a:ext cx="1311789" cy="1316934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252F6EC-86F7-9540-BAED-6E9A44788109}"/>
              </a:ext>
            </a:extLst>
          </xdr:cNvPr>
          <xdr:cNvSpPr txBox="1"/>
        </xdr:nvSpPr>
        <xdr:spPr>
          <a:xfrm>
            <a:off x="2178326" y="22967674"/>
            <a:ext cx="1018761" cy="4389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20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សយ</a:t>
            </a:r>
            <a:r>
              <a:rPr lang="km-KH" sz="1200" baseline="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 ថាត</a:t>
            </a:r>
            <a:endParaRPr lang="en-US" sz="1100">
              <a:solidFill>
                <a:srgbClr val="FF0000"/>
              </a:solidFill>
              <a:latin typeface="Khmer OS Moul" panose="02000500000000000000" pitchFamily="2" charset="0"/>
              <a:cs typeface="Khmer OS Moul" panose="02000500000000000000" pitchFamily="2" charset="0"/>
            </a:endParaRPr>
          </a:p>
        </xdr:txBody>
      </xdr:sp>
    </xdr:grpSp>
    <xdr:clientData/>
  </xdr:twoCellAnchor>
  <xdr:twoCellAnchor>
    <xdr:from>
      <xdr:col>16</xdr:col>
      <xdr:colOff>97857</xdr:colOff>
      <xdr:row>56</xdr:row>
      <xdr:rowOff>260283</xdr:rowOff>
    </xdr:from>
    <xdr:to>
      <xdr:col>21</xdr:col>
      <xdr:colOff>135556</xdr:colOff>
      <xdr:row>59</xdr:row>
      <xdr:rowOff>192215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1002335E-2355-4B13-882D-D252D2AF9424}"/>
            </a:ext>
          </a:extLst>
        </xdr:cNvPr>
        <xdr:cNvGrpSpPr/>
      </xdr:nvGrpSpPr>
      <xdr:grpSpPr>
        <a:xfrm>
          <a:off x="6938539" y="18059525"/>
          <a:ext cx="2067775" cy="836326"/>
          <a:chOff x="8365672" y="14336486"/>
          <a:chExt cx="1832066" cy="84908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7E6D403-61DD-D76D-863D-3AD6E8B3AA7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31CEA00-054C-0E21-2DC7-58DF9D8C756B}"/>
              </a:ext>
            </a:extLst>
          </xdr:cNvPr>
          <xdr:cNvSpPr txBox="1"/>
        </xdr:nvSpPr>
        <xdr:spPr>
          <a:xfrm>
            <a:off x="9459686" y="14875329"/>
            <a:ext cx="691243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</xdr:colOff>
      <xdr:row>44</xdr:row>
      <xdr:rowOff>138430</xdr:rowOff>
    </xdr:from>
    <xdr:to>
      <xdr:col>9</xdr:col>
      <xdr:colOff>95249</xdr:colOff>
      <xdr:row>51</xdr:row>
      <xdr:rowOff>12700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E975813-A709-4EFA-A21E-56F680DC9177}"/>
            </a:ext>
          </a:extLst>
        </xdr:cNvPr>
        <xdr:cNvGrpSpPr/>
      </xdr:nvGrpSpPr>
      <xdr:grpSpPr>
        <a:xfrm>
          <a:off x="1965267" y="12427412"/>
          <a:ext cx="2139141" cy="1561061"/>
          <a:chOff x="720586" y="21634175"/>
          <a:chExt cx="2476501" cy="177247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B351150-FA30-804E-CBAD-82B2BDD587B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098" b="30480"/>
          <a:stretch/>
        </xdr:blipFill>
        <xdr:spPr>
          <a:xfrm>
            <a:off x="985630" y="22379607"/>
            <a:ext cx="1847021" cy="746601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15241A2-EC46-48E0-FF04-F890C935CF6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378" t="2841" r="23274" b="166"/>
          <a:stretch/>
        </xdr:blipFill>
        <xdr:spPr>
          <a:xfrm>
            <a:off x="720586" y="21634175"/>
            <a:ext cx="1311789" cy="1316934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00722CC-5E62-8950-BFE2-BB0BDF4075C7}"/>
              </a:ext>
            </a:extLst>
          </xdr:cNvPr>
          <xdr:cNvSpPr txBox="1"/>
        </xdr:nvSpPr>
        <xdr:spPr>
          <a:xfrm>
            <a:off x="2178326" y="22967674"/>
            <a:ext cx="1018761" cy="4389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20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សយ</a:t>
            </a:r>
            <a:r>
              <a:rPr lang="km-KH" sz="1200" baseline="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 ថាត</a:t>
            </a:r>
            <a:endParaRPr lang="en-US" sz="1100">
              <a:solidFill>
                <a:srgbClr val="FF0000"/>
              </a:solidFill>
              <a:latin typeface="Khmer OS Moul" panose="02000500000000000000" pitchFamily="2" charset="0"/>
              <a:cs typeface="Khmer OS Moul" panose="02000500000000000000" pitchFamily="2" charset="0"/>
            </a:endParaRPr>
          </a:p>
        </xdr:txBody>
      </xdr:sp>
    </xdr:grpSp>
    <xdr:clientData/>
  </xdr:twoCellAnchor>
  <xdr:twoCellAnchor>
    <xdr:from>
      <xdr:col>16</xdr:col>
      <xdr:colOff>255270</xdr:colOff>
      <xdr:row>47</xdr:row>
      <xdr:rowOff>34290</xdr:rowOff>
    </xdr:from>
    <xdr:to>
      <xdr:col>20</xdr:col>
      <xdr:colOff>346710</xdr:colOff>
      <xdr:row>50</xdr:row>
      <xdr:rowOff>130052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A8BF0A5-85FA-4FF1-BACD-49D2D4DB6959}"/>
            </a:ext>
          </a:extLst>
        </xdr:cNvPr>
        <xdr:cNvGrpSpPr/>
      </xdr:nvGrpSpPr>
      <xdr:grpSpPr>
        <a:xfrm>
          <a:off x="6749588" y="13092199"/>
          <a:ext cx="1728008" cy="823126"/>
          <a:chOff x="8365672" y="14336486"/>
          <a:chExt cx="1832066" cy="84908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C802C4A-BB75-D624-CFFD-9F604015869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4248F84-283F-B051-58BA-0738BA9DCAF7}"/>
              </a:ext>
            </a:extLst>
          </xdr:cNvPr>
          <xdr:cNvSpPr txBox="1"/>
        </xdr:nvSpPr>
        <xdr:spPr>
          <a:xfrm>
            <a:off x="9459686" y="14875329"/>
            <a:ext cx="691243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53</xdr:row>
      <xdr:rowOff>38100</xdr:rowOff>
    </xdr:from>
    <xdr:to>
      <xdr:col>9</xdr:col>
      <xdr:colOff>289560</xdr:colOff>
      <xdr:row>60</xdr:row>
      <xdr:rowOff>47552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BFBCA83-EC9F-44A5-8D19-6E64AEF21FC3}"/>
            </a:ext>
          </a:extLst>
        </xdr:cNvPr>
        <xdr:cNvGrpSpPr/>
      </xdr:nvGrpSpPr>
      <xdr:grpSpPr>
        <a:xfrm>
          <a:off x="2042160" y="17116425"/>
          <a:ext cx="2457450" cy="1743002"/>
          <a:chOff x="720586" y="21634175"/>
          <a:chExt cx="2476501" cy="177247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BB04AE7D-B1E5-2ABE-5286-5CF368BDA1E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098" b="30480"/>
          <a:stretch/>
        </xdr:blipFill>
        <xdr:spPr>
          <a:xfrm>
            <a:off x="985630" y="22379607"/>
            <a:ext cx="1847021" cy="746601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860481E1-7074-C51F-A1EC-8CFDA06DA73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378" t="2841" r="23274" b="166"/>
          <a:stretch/>
        </xdr:blipFill>
        <xdr:spPr>
          <a:xfrm>
            <a:off x="720586" y="21634175"/>
            <a:ext cx="1311789" cy="1316934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DB345A6-E98B-EB47-0328-FB493166A9B9}"/>
              </a:ext>
            </a:extLst>
          </xdr:cNvPr>
          <xdr:cNvSpPr txBox="1"/>
        </xdr:nvSpPr>
        <xdr:spPr>
          <a:xfrm>
            <a:off x="2178326" y="22967674"/>
            <a:ext cx="1018761" cy="4389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20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សយ</a:t>
            </a:r>
            <a:r>
              <a:rPr lang="km-KH" sz="1200" baseline="0">
                <a:solidFill>
                  <a:srgbClr val="FF0000"/>
                </a:solidFill>
                <a:latin typeface="Khmer OS Moul" panose="02000500000000000000" pitchFamily="2" charset="0"/>
                <a:cs typeface="Khmer OS Moul" panose="02000500000000000000" pitchFamily="2" charset="0"/>
              </a:rPr>
              <a:t> ថាត</a:t>
            </a:r>
            <a:endParaRPr lang="en-US" sz="1100">
              <a:solidFill>
                <a:srgbClr val="FF0000"/>
              </a:solidFill>
              <a:latin typeface="Khmer OS Moul" panose="02000500000000000000" pitchFamily="2" charset="0"/>
              <a:cs typeface="Khmer OS Moul" panose="02000500000000000000" pitchFamily="2" charset="0"/>
            </a:endParaRPr>
          </a:p>
        </xdr:txBody>
      </xdr:sp>
    </xdr:grpSp>
    <xdr:clientData/>
  </xdr:twoCellAnchor>
  <xdr:twoCellAnchor>
    <xdr:from>
      <xdr:col>17</xdr:col>
      <xdr:colOff>83819</xdr:colOff>
      <xdr:row>53</xdr:row>
      <xdr:rowOff>190500</xdr:rowOff>
    </xdr:from>
    <xdr:to>
      <xdr:col>21</xdr:col>
      <xdr:colOff>99059</xdr:colOff>
      <xdr:row>56</xdr:row>
      <xdr:rowOff>122432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B38BC36-C4FC-4A58-9901-7EAA40EE3E28}"/>
            </a:ext>
          </a:extLst>
        </xdr:cNvPr>
        <xdr:cNvGrpSpPr/>
      </xdr:nvGrpSpPr>
      <xdr:grpSpPr>
        <a:xfrm>
          <a:off x="7103744" y="17268825"/>
          <a:ext cx="1824990" cy="827282"/>
          <a:chOff x="8365672" y="14336486"/>
          <a:chExt cx="2034474" cy="84908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2E08F6F6-BF3B-F1E2-B7E6-9D8B3764A8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0DF442E-535B-4F51-02E5-84B0BDA12105}"/>
              </a:ext>
            </a:extLst>
          </xdr:cNvPr>
          <xdr:cNvSpPr txBox="1"/>
        </xdr:nvSpPr>
        <xdr:spPr>
          <a:xfrm>
            <a:off x="9459686" y="14875329"/>
            <a:ext cx="940460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287784</xdr:colOff>
      <xdr:row>15</xdr:row>
      <xdr:rowOff>198192</xdr:rowOff>
    </xdr:from>
    <xdr:to>
      <xdr:col>17</xdr:col>
      <xdr:colOff>234462</xdr:colOff>
      <xdr:row>25</xdr:row>
      <xdr:rowOff>97693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67A966-1474-4761-B30E-409178A0B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320350</xdr:colOff>
      <xdr:row>32</xdr:row>
      <xdr:rowOff>133090</xdr:rowOff>
    </xdr:from>
    <xdr:to>
      <xdr:col>17</xdr:col>
      <xdr:colOff>377744</xdr:colOff>
      <xdr:row>43</xdr:row>
      <xdr:rowOff>218815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C3044A-7E45-46DE-9C24-18E76A2B2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312617</xdr:colOff>
      <xdr:row>52</xdr:row>
      <xdr:rowOff>115951</xdr:rowOff>
    </xdr:from>
    <xdr:to>
      <xdr:col>18</xdr:col>
      <xdr:colOff>37124</xdr:colOff>
      <xdr:row>62</xdr:row>
      <xdr:rowOff>82094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E26E5A-38CC-4BED-9A74-6E2C24669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186690</xdr:colOff>
      <xdr:row>73</xdr:row>
      <xdr:rowOff>169545</xdr:rowOff>
    </xdr:from>
    <xdr:to>
      <xdr:col>17</xdr:col>
      <xdr:colOff>107673</xdr:colOff>
      <xdr:row>78</xdr:row>
      <xdr:rowOff>76712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D981197-8AD7-4239-962E-90A96A211E58}"/>
            </a:ext>
          </a:extLst>
        </xdr:cNvPr>
        <xdr:cNvGrpSpPr/>
      </xdr:nvGrpSpPr>
      <xdr:grpSpPr>
        <a:xfrm>
          <a:off x="6330315" y="17104995"/>
          <a:ext cx="1968858" cy="964442"/>
          <a:chOff x="8365672" y="14336486"/>
          <a:chExt cx="1832066" cy="849086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81E1C763-7647-EA84-2684-97D2B53E9C4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E1DB2F0-9FBE-DEF9-04A3-6B7D163932C0}"/>
              </a:ext>
            </a:extLst>
          </xdr:cNvPr>
          <xdr:cNvSpPr txBox="1"/>
        </xdr:nvSpPr>
        <xdr:spPr>
          <a:xfrm>
            <a:off x="9459686" y="14875329"/>
            <a:ext cx="691243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22148</xdr:rowOff>
    </xdr:from>
    <xdr:to>
      <xdr:col>20</xdr:col>
      <xdr:colOff>571500</xdr:colOff>
      <xdr:row>28</xdr:row>
      <xdr:rowOff>276887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7E4360-33EA-4ACF-BF9E-0A81205C1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363546</xdr:colOff>
      <xdr:row>31</xdr:row>
      <xdr:rowOff>140616</xdr:rowOff>
    </xdr:from>
    <xdr:to>
      <xdr:col>17</xdr:col>
      <xdr:colOff>332268</xdr:colOff>
      <xdr:row>34</xdr:row>
      <xdr:rowOff>33227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16E3EEB-9DC3-4771-967D-E1FBA23D92F3}"/>
            </a:ext>
          </a:extLst>
        </xdr:cNvPr>
        <xdr:cNvGrpSpPr/>
      </xdr:nvGrpSpPr>
      <xdr:grpSpPr>
        <a:xfrm>
          <a:off x="6432965" y="7804918"/>
          <a:ext cx="1607908" cy="568222"/>
          <a:chOff x="8365672" y="14336486"/>
          <a:chExt cx="1832066" cy="821094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5D05CB3-9748-1BE6-CC4B-17C0403F93D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566" b="30228"/>
          <a:stretch/>
        </xdr:blipFill>
        <xdr:spPr>
          <a:xfrm>
            <a:off x="8365672" y="14336486"/>
            <a:ext cx="1832066" cy="685578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80A32B1-464B-157C-E7C5-57AFDB21FAFE}"/>
              </a:ext>
            </a:extLst>
          </xdr:cNvPr>
          <xdr:cNvSpPr txBox="1"/>
        </xdr:nvSpPr>
        <xdr:spPr>
          <a:xfrm>
            <a:off x="9459686" y="14847337"/>
            <a:ext cx="691243" cy="3102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m-KH" sz="1100" b="1">
                <a:latin typeface="!Khmer OS Siemreap" panose="02000500000000020004" pitchFamily="2" charset="0"/>
                <a:cs typeface="!Khmer OS Siemreap" panose="02000500000000020004" pitchFamily="2" charset="0"/>
              </a:rPr>
              <a:t>ម៉ាន់ រក្សា</a:t>
            </a:r>
            <a:endParaRPr lang="en-US" sz="1100" b="1">
              <a:latin typeface="!Khmer OS Siemreap" panose="02000500000000020004" pitchFamily="2" charset="0"/>
              <a:cs typeface="!Khmer OS Siemreap" panose="02000500000000020004" pitchFamily="2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view="pageLayout" topLeftCell="A6" zoomScaleNormal="110" zoomScaleSheetLayoutView="122" workbookViewId="0">
      <selection activeCell="E16" sqref="E16"/>
    </sheetView>
  </sheetViews>
  <sheetFormatPr defaultRowHeight="15" x14ac:dyDescent="0.25"/>
  <cols>
    <col min="1" max="1" width="5.85546875" customWidth="1"/>
    <col min="2" max="2" width="3.85546875" customWidth="1"/>
    <col min="3" max="3" width="8.42578125" customWidth="1"/>
    <col min="4" max="4" width="6.28515625" customWidth="1"/>
    <col min="5" max="6" width="6.7109375" customWidth="1"/>
    <col min="7" max="7" width="6.28515625" customWidth="1"/>
    <col min="8" max="8" width="6.85546875" customWidth="1"/>
    <col min="9" max="9" width="7.7109375" customWidth="1"/>
    <col min="10" max="10" width="6.28515625" customWidth="1"/>
    <col min="11" max="11" width="6.7109375" customWidth="1"/>
    <col min="12" max="12" width="6.140625" customWidth="1"/>
    <col min="13" max="13" width="5.85546875" customWidth="1"/>
    <col min="14" max="14" width="6.7109375" customWidth="1"/>
    <col min="15" max="15" width="6" customWidth="1"/>
    <col min="16" max="16" width="6.140625" customWidth="1"/>
    <col min="17" max="17" width="6.42578125" customWidth="1"/>
    <col min="18" max="18" width="7.140625" customWidth="1"/>
    <col min="19" max="19" width="6.7109375" customWidth="1"/>
    <col min="20" max="20" width="7.7109375" customWidth="1"/>
    <col min="21" max="21" width="6.7109375" customWidth="1"/>
    <col min="22" max="22" width="5.85546875" customWidth="1"/>
  </cols>
  <sheetData>
    <row r="1" spans="1:22" ht="23.25" x14ac:dyDescent="0.65">
      <c r="A1" s="233" t="s">
        <v>13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8"/>
    </row>
    <row r="2" spans="1:22" ht="23.25" x14ac:dyDescent="0.65">
      <c r="A2" s="233" t="s">
        <v>14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8"/>
    </row>
    <row r="3" spans="1:22" ht="18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</row>
    <row r="4" spans="1:22" ht="23.25" x14ac:dyDescent="0.65">
      <c r="A4" s="244" t="s">
        <v>15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</row>
    <row r="5" spans="1:22" ht="23.25" x14ac:dyDescent="0.65">
      <c r="A5" s="244" t="s">
        <v>138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</row>
    <row r="6" spans="1:22" ht="23.25" x14ac:dyDescent="0.65">
      <c r="A6" s="244" t="s">
        <v>129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</row>
    <row r="7" spans="1:22" ht="24.75" customHeight="1" x14ac:dyDescent="0.65">
      <c r="A7" s="233" t="s">
        <v>59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</row>
    <row r="8" spans="1:22" ht="21.75" customHeight="1" x14ac:dyDescent="0.25">
      <c r="A8" s="234" t="s">
        <v>60</v>
      </c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</row>
    <row r="9" spans="1:22" ht="27.95" customHeight="1" x14ac:dyDescent="0.65">
      <c r="A9" s="233" t="s">
        <v>518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</row>
    <row r="10" spans="1:22" ht="27.95" customHeight="1" x14ac:dyDescent="0.7">
      <c r="A10" s="244" t="s">
        <v>519</v>
      </c>
      <c r="B10" s="244"/>
      <c r="C10" s="244"/>
      <c r="D10" s="244"/>
      <c r="E10" s="244"/>
      <c r="F10" s="244"/>
      <c r="G10" s="50"/>
      <c r="H10" s="50" t="s">
        <v>364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</row>
    <row r="11" spans="1:22" ht="36" customHeight="1" x14ac:dyDescent="0.25">
      <c r="A11" s="258" t="s">
        <v>1</v>
      </c>
      <c r="B11" s="259"/>
      <c r="C11" s="296" t="s">
        <v>2</v>
      </c>
      <c r="D11" s="299" t="s">
        <v>5</v>
      </c>
      <c r="E11" s="266" t="s">
        <v>520</v>
      </c>
      <c r="F11" s="267"/>
      <c r="G11" s="291" t="s">
        <v>67</v>
      </c>
      <c r="H11" s="292"/>
      <c r="I11" s="292"/>
      <c r="J11" s="293"/>
      <c r="K11" s="286" t="s">
        <v>8</v>
      </c>
      <c r="L11" s="286"/>
      <c r="M11" s="286"/>
      <c r="N11" s="286"/>
      <c r="O11" s="286"/>
      <c r="P11" s="286"/>
      <c r="Q11" s="286"/>
      <c r="R11" s="286"/>
      <c r="S11" s="286"/>
      <c r="T11" s="286"/>
      <c r="U11" s="282" t="s">
        <v>94</v>
      </c>
      <c r="V11" s="283"/>
    </row>
    <row r="12" spans="1:22" ht="47.25" customHeight="1" x14ac:dyDescent="0.25">
      <c r="A12" s="260"/>
      <c r="B12" s="261"/>
      <c r="C12" s="297"/>
      <c r="D12" s="300"/>
      <c r="E12" s="268"/>
      <c r="F12" s="269"/>
      <c r="G12" s="287" t="s">
        <v>7</v>
      </c>
      <c r="H12" s="288"/>
      <c r="I12" s="289" t="s">
        <v>93</v>
      </c>
      <c r="J12" s="290"/>
      <c r="K12" s="294" t="s">
        <v>9</v>
      </c>
      <c r="L12" s="295"/>
      <c r="M12" s="302" t="s">
        <v>10</v>
      </c>
      <c r="N12" s="303"/>
      <c r="O12" s="294" t="s">
        <v>11</v>
      </c>
      <c r="P12" s="295"/>
      <c r="Q12" s="294" t="s">
        <v>12</v>
      </c>
      <c r="R12" s="295"/>
      <c r="S12" s="294" t="s">
        <v>43</v>
      </c>
      <c r="T12" s="295"/>
      <c r="U12" s="284"/>
      <c r="V12" s="285"/>
    </row>
    <row r="13" spans="1:22" ht="29.25" customHeight="1" x14ac:dyDescent="0.25">
      <c r="A13" s="262"/>
      <c r="B13" s="263"/>
      <c r="C13" s="298"/>
      <c r="D13" s="301"/>
      <c r="E13" s="79" t="s">
        <v>3</v>
      </c>
      <c r="F13" s="79" t="s">
        <v>4</v>
      </c>
      <c r="G13" s="73" t="s">
        <v>3</v>
      </c>
      <c r="H13" s="73" t="s">
        <v>4</v>
      </c>
      <c r="I13" s="75" t="s">
        <v>3</v>
      </c>
      <c r="J13" s="75" t="s">
        <v>4</v>
      </c>
      <c r="K13" s="79" t="s">
        <v>3</v>
      </c>
      <c r="L13" s="79" t="s">
        <v>4</v>
      </c>
      <c r="M13" s="79" t="s">
        <v>3</v>
      </c>
      <c r="N13" s="79" t="s">
        <v>4</v>
      </c>
      <c r="O13" s="79" t="s">
        <v>3</v>
      </c>
      <c r="P13" s="79" t="s">
        <v>4</v>
      </c>
      <c r="Q13" s="79" t="s">
        <v>3</v>
      </c>
      <c r="R13" s="79" t="s">
        <v>4</v>
      </c>
      <c r="S13" s="79" t="s">
        <v>3</v>
      </c>
      <c r="T13" s="79" t="s">
        <v>4</v>
      </c>
      <c r="U13" s="77" t="s">
        <v>3</v>
      </c>
      <c r="V13" s="77" t="s">
        <v>4</v>
      </c>
    </row>
    <row r="14" spans="1:22" ht="19.899999999999999" customHeight="1" x14ac:dyDescent="0.25">
      <c r="A14" s="270" t="s">
        <v>129</v>
      </c>
      <c r="B14" s="271"/>
      <c r="C14" s="236" t="s">
        <v>128</v>
      </c>
      <c r="D14" s="187">
        <v>1</v>
      </c>
      <c r="E14" s="184">
        <f>អគ្គិសនី១!B47</f>
        <v>22</v>
      </c>
      <c r="F14" s="184">
        <f>អគ្គិសនី១!C47</f>
        <v>5</v>
      </c>
      <c r="G14" s="188">
        <f>SUM(K14,M14,O14,Q14,S14)</f>
        <v>17</v>
      </c>
      <c r="H14" s="188">
        <f>SUM(L14,N14,P14,R14,T14)</f>
        <v>1</v>
      </c>
      <c r="I14" s="189">
        <f>អគ្គិសនី១!F47</f>
        <v>0</v>
      </c>
      <c r="J14" s="189">
        <f>អគ្គិសនី១!G47</f>
        <v>0</v>
      </c>
      <c r="K14" s="184">
        <f>អគ្គិសនី២!H44</f>
        <v>0</v>
      </c>
      <c r="L14" s="184">
        <f>អគ្គិសនី២!I44</f>
        <v>0</v>
      </c>
      <c r="M14" s="184">
        <f>អគ្គិសនី២!J44</f>
        <v>0</v>
      </c>
      <c r="N14" s="184">
        <f>អគ្គិសនី២!K44</f>
        <v>0</v>
      </c>
      <c r="O14" s="184">
        <f>អគ្គិសនី២!L44</f>
        <v>4</v>
      </c>
      <c r="P14" s="184">
        <f>អគ្គិសនី២!M44</f>
        <v>1</v>
      </c>
      <c r="Q14" s="184">
        <f>អគ្គិសនី២!N44</f>
        <v>5</v>
      </c>
      <c r="R14" s="184">
        <f>អគ្គិសនី២!O44</f>
        <v>0</v>
      </c>
      <c r="S14" s="184">
        <f>អគ្គិសនី២!P44</f>
        <v>8</v>
      </c>
      <c r="T14" s="184">
        <f>អគ្គិសនី២!Q44</f>
        <v>0</v>
      </c>
      <c r="U14" s="190">
        <f>អគ្គិសនី១!R47</f>
        <v>1</v>
      </c>
      <c r="V14" s="190">
        <f>អគ្គិសនី១!S47</f>
        <v>0</v>
      </c>
    </row>
    <row r="15" spans="1:22" ht="19.899999999999999" customHeight="1" x14ac:dyDescent="0.25">
      <c r="A15" s="272"/>
      <c r="B15" s="273"/>
      <c r="C15" s="237"/>
      <c r="D15" s="191">
        <v>2</v>
      </c>
      <c r="E15" s="184">
        <f>អគ្គិសនី២!B44</f>
        <v>18</v>
      </c>
      <c r="F15" s="184">
        <f>អគ្គិសនី២!C44</f>
        <v>1</v>
      </c>
      <c r="G15" s="188">
        <f>SUM(K15,M15,O15,Q15,S15)</f>
        <v>14</v>
      </c>
      <c r="H15" s="188">
        <f t="shared" ref="H15:H16" si="0">SUM(L15,N15,P15,R15,T15)</f>
        <v>0</v>
      </c>
      <c r="I15" s="189">
        <f>អគ្គិសនី២!F44</f>
        <v>0</v>
      </c>
      <c r="J15" s="189">
        <f>អគ្គិសនី២!G44</f>
        <v>0</v>
      </c>
      <c r="K15" s="184">
        <f>អគ្គិសនី៣!H43</f>
        <v>0</v>
      </c>
      <c r="L15" s="184">
        <f>អគ្គិសនី៣!I43</f>
        <v>0</v>
      </c>
      <c r="M15" s="184">
        <f>អគ្គិសនី៣!J43</f>
        <v>0</v>
      </c>
      <c r="N15" s="184">
        <f>អគ្គិសនី៣!K43</f>
        <v>0</v>
      </c>
      <c r="O15" s="184">
        <f>អគ្គិសនី៣!L43</f>
        <v>0</v>
      </c>
      <c r="P15" s="184">
        <f>អគ្គិសនី៣!M43</f>
        <v>0</v>
      </c>
      <c r="Q15" s="184">
        <f>អគ្គិសនី៣!N43</f>
        <v>4</v>
      </c>
      <c r="R15" s="184">
        <f>អគ្គិសនី៣!O43</f>
        <v>0</v>
      </c>
      <c r="S15" s="184">
        <f>អគ្គិសនី៣!P43</f>
        <v>10</v>
      </c>
      <c r="T15" s="184">
        <f>អគ្គិសនី៣!Q43</f>
        <v>0</v>
      </c>
      <c r="U15" s="190">
        <f>អគ្គិសនី២!R44</f>
        <v>1</v>
      </c>
      <c r="V15" s="190">
        <f>អគ្គិសនី២!S44</f>
        <v>0</v>
      </c>
    </row>
    <row r="16" spans="1:22" ht="19.899999999999999" customHeight="1" x14ac:dyDescent="0.25">
      <c r="A16" s="272"/>
      <c r="B16" s="273"/>
      <c r="C16" s="238"/>
      <c r="D16" s="191">
        <v>3</v>
      </c>
      <c r="E16" s="184">
        <f>អគ្គិសនី៣!B43</f>
        <v>14</v>
      </c>
      <c r="F16" s="184">
        <f>អគ្គិសនី៣!C43</f>
        <v>0</v>
      </c>
      <c r="G16" s="188">
        <f>SUM(K16,M16,O16,Q16,S16)</f>
        <v>21</v>
      </c>
      <c r="H16" s="188">
        <f t="shared" si="0"/>
        <v>5</v>
      </c>
      <c r="I16" s="189">
        <f>អគ្គិសនី៣!F43</f>
        <v>0</v>
      </c>
      <c r="J16" s="189">
        <f>អគ្គិសនី៣!G43</f>
        <v>0</v>
      </c>
      <c r="K16" s="184">
        <f>អគ្គិសនី១!H47</f>
        <v>0</v>
      </c>
      <c r="L16" s="184">
        <f>អគ្គិសនី១!I47</f>
        <v>0</v>
      </c>
      <c r="M16" s="184">
        <f>អគ្គិសនី១!J47</f>
        <v>0</v>
      </c>
      <c r="N16" s="184">
        <f>អគ្គិសនី១!K47</f>
        <v>0</v>
      </c>
      <c r="O16" s="184">
        <f>អគ្គិសនី១!L47</f>
        <v>3</v>
      </c>
      <c r="P16" s="184">
        <f>អគ្គិសនី១!M47</f>
        <v>2</v>
      </c>
      <c r="Q16" s="184">
        <f>អគ្គិសនី១!N47</f>
        <v>7</v>
      </c>
      <c r="R16" s="184">
        <f>អគ្គិសនី១!O47</f>
        <v>2</v>
      </c>
      <c r="S16" s="184">
        <f>អគ្គិសនី១!P47</f>
        <v>11</v>
      </c>
      <c r="T16" s="184">
        <f>អគ្គិសនី១!Q47</f>
        <v>1</v>
      </c>
      <c r="U16" s="190">
        <f>អគ្គិសនី៣!R43</f>
        <v>0</v>
      </c>
      <c r="V16" s="190">
        <f>អគ្គិសនី៣!S43</f>
        <v>0</v>
      </c>
    </row>
    <row r="17" spans="1:22" ht="19.899999999999999" customHeight="1" x14ac:dyDescent="0.25">
      <c r="A17" s="272"/>
      <c r="B17" s="273"/>
      <c r="C17" s="264" t="s">
        <v>3</v>
      </c>
      <c r="D17" s="265"/>
      <c r="E17" s="156">
        <f>SUM(E14:E16)</f>
        <v>54</v>
      </c>
      <c r="F17" s="156">
        <f>SUM(F14:F16)</f>
        <v>6</v>
      </c>
      <c r="G17" s="156">
        <f t="shared" ref="G17:P17" si="1">SUM(G14:G16)</f>
        <v>52</v>
      </c>
      <c r="H17" s="156">
        <f t="shared" si="1"/>
        <v>6</v>
      </c>
      <c r="I17" s="156">
        <f t="shared" si="1"/>
        <v>0</v>
      </c>
      <c r="J17" s="156">
        <f t="shared" si="1"/>
        <v>0</v>
      </c>
      <c r="K17" s="156">
        <f t="shared" si="1"/>
        <v>0</v>
      </c>
      <c r="L17" s="156">
        <f t="shared" si="1"/>
        <v>0</v>
      </c>
      <c r="M17" s="156">
        <f t="shared" si="1"/>
        <v>0</v>
      </c>
      <c r="N17" s="156">
        <f t="shared" si="1"/>
        <v>0</v>
      </c>
      <c r="O17" s="156">
        <f t="shared" si="1"/>
        <v>7</v>
      </c>
      <c r="P17" s="156">
        <f t="shared" si="1"/>
        <v>3</v>
      </c>
      <c r="Q17" s="156">
        <f t="shared" ref="Q17:V17" si="2">SUM(Q14:Q16)</f>
        <v>16</v>
      </c>
      <c r="R17" s="156">
        <f t="shared" si="2"/>
        <v>2</v>
      </c>
      <c r="S17" s="156">
        <f t="shared" si="2"/>
        <v>29</v>
      </c>
      <c r="T17" s="156">
        <f t="shared" si="2"/>
        <v>1</v>
      </c>
      <c r="U17" s="156">
        <f>SUM(U14:U16)</f>
        <v>2</v>
      </c>
      <c r="V17" s="156">
        <f t="shared" si="2"/>
        <v>0</v>
      </c>
    </row>
    <row r="18" spans="1:22" ht="19.899999999999999" customHeight="1" x14ac:dyDescent="0.25">
      <c r="A18" s="272"/>
      <c r="B18" s="273"/>
      <c r="C18" s="236" t="s">
        <v>127</v>
      </c>
      <c r="D18" s="187">
        <v>1</v>
      </c>
      <c r="E18" s="184">
        <f>កុំព្យទ័រ១!B55</f>
        <v>29</v>
      </c>
      <c r="F18" s="184">
        <f>កុំព្យទ័រ១!C55</f>
        <v>20</v>
      </c>
      <c r="G18" s="188">
        <f>SUM(K18+M18+O18+Q18+S18)</f>
        <v>27</v>
      </c>
      <c r="H18" s="188">
        <f>SUM(L18+N18+P18+R18+T18)</f>
        <v>19</v>
      </c>
      <c r="I18" s="189">
        <f>កុំព្យទ័រ១!F55</f>
        <v>0</v>
      </c>
      <c r="J18" s="189">
        <f>កុំព្យទ័រ១!G55</f>
        <v>0</v>
      </c>
      <c r="K18" s="184">
        <f>កុំព្យូទ័រ២!H53</f>
        <v>0</v>
      </c>
      <c r="L18" s="184">
        <f>កុំព្យូទ័រ២!I53</f>
        <v>0</v>
      </c>
      <c r="M18" s="184">
        <f>កុំព្យូទ័រ២!J53</f>
        <v>11</v>
      </c>
      <c r="N18" s="184">
        <f>កុំព្យូទ័រ២!K53</f>
        <v>9</v>
      </c>
      <c r="O18" s="184">
        <f>កុំព្យូទ័រ២!L53</f>
        <v>10</v>
      </c>
      <c r="P18" s="184">
        <f>កុំព្យូទ័រ២!M53</f>
        <v>8</v>
      </c>
      <c r="Q18" s="184">
        <f>កុំព្យូទ័រ២!N53</f>
        <v>6</v>
      </c>
      <c r="R18" s="184">
        <f>កុំព្យូទ័រ២!O53</f>
        <v>2</v>
      </c>
      <c r="S18" s="184">
        <f>កុំព្យូទ័រ២!P53</f>
        <v>0</v>
      </c>
      <c r="T18" s="184">
        <f>កុំព្យូទ័រ២!Q53</f>
        <v>0</v>
      </c>
      <c r="U18" s="190">
        <f>កុំព្យទ័រ១!R55</f>
        <v>0</v>
      </c>
      <c r="V18" s="190">
        <f>កុំព្យទ័រ១!S55</f>
        <v>0</v>
      </c>
    </row>
    <row r="19" spans="1:22" ht="19.899999999999999" customHeight="1" x14ac:dyDescent="0.25">
      <c r="A19" s="272"/>
      <c r="B19" s="273"/>
      <c r="C19" s="237"/>
      <c r="D19" s="191">
        <v>2</v>
      </c>
      <c r="E19" s="184">
        <f>កុំព្យូទ័រ២!B53</f>
        <v>27</v>
      </c>
      <c r="F19" s="184">
        <f>កុំព្យូទ័រ២!C53</f>
        <v>19</v>
      </c>
      <c r="G19" s="188">
        <f t="shared" ref="G19" si="3">SUM(K19+M19+O19+Q19+S19)</f>
        <v>24</v>
      </c>
      <c r="H19" s="188">
        <f t="shared" ref="H19" si="4">SUM(L19+N19+P19+R19+T19)</f>
        <v>17</v>
      </c>
      <c r="I19" s="189">
        <f>កុំព្យូទ័រ២!F53</f>
        <v>0</v>
      </c>
      <c r="J19" s="189">
        <f>កុំព្យូទ័រ២!G53</f>
        <v>0</v>
      </c>
      <c r="K19" s="184">
        <f>កុំព្យទ័រ៣!H50</f>
        <v>1</v>
      </c>
      <c r="L19" s="184">
        <f>កុំព្យទ័រ៣!I50</f>
        <v>0</v>
      </c>
      <c r="M19" s="184">
        <f>កុំព្យទ័រ៣!J50</f>
        <v>9</v>
      </c>
      <c r="N19" s="184">
        <f>កុំព្យទ័រ៣!K50</f>
        <v>8</v>
      </c>
      <c r="O19" s="184">
        <f>កុំព្យទ័រ៣!L50</f>
        <v>8</v>
      </c>
      <c r="P19" s="184">
        <f>កុំព្យទ័រ៣!M50</f>
        <v>5</v>
      </c>
      <c r="Q19" s="184">
        <f>កុំព្យទ័រ៣!N50</f>
        <v>5</v>
      </c>
      <c r="R19" s="184">
        <f>កុំព្យទ័រ៣!O50</f>
        <v>3</v>
      </c>
      <c r="S19" s="184">
        <f>កុំព្យទ័រ៣!P50</f>
        <v>1</v>
      </c>
      <c r="T19" s="184">
        <f>កុំព្យទ័រ៣!Q50</f>
        <v>1</v>
      </c>
      <c r="U19" s="190">
        <f>កុំព្យូទ័រ២!R53</f>
        <v>0</v>
      </c>
      <c r="V19" s="190">
        <f>កុំព្យូទ័រ២!S53</f>
        <v>0</v>
      </c>
    </row>
    <row r="20" spans="1:22" ht="19.899999999999999" customHeight="1" x14ac:dyDescent="0.25">
      <c r="A20" s="272"/>
      <c r="B20" s="273"/>
      <c r="C20" s="238"/>
      <c r="D20" s="191">
        <v>3</v>
      </c>
      <c r="E20" s="184">
        <f>កុំព្យទ័រ៣!B50</f>
        <v>24</v>
      </c>
      <c r="F20" s="184">
        <f>កុំព្យទ័រ៣!C50</f>
        <v>17</v>
      </c>
      <c r="G20" s="188">
        <f>SUM(K20+M20+O20+Q20+S20)</f>
        <v>29</v>
      </c>
      <c r="H20" s="188">
        <f>SUM(L20+N20+P20+R20+T20)</f>
        <v>20</v>
      </c>
      <c r="I20" s="189">
        <f>កុំព្យទ័រ៣!F50</f>
        <v>0</v>
      </c>
      <c r="J20" s="189">
        <f>កុំព្យទ័រ៣!G50</f>
        <v>0</v>
      </c>
      <c r="K20" s="184">
        <f>កុំព្យទ័រ១!H55</f>
        <v>0</v>
      </c>
      <c r="L20" s="184">
        <f>កុំព្យទ័រ១!I55</f>
        <v>0</v>
      </c>
      <c r="M20" s="184">
        <f>កុំព្យទ័រ១!J55</f>
        <v>8</v>
      </c>
      <c r="N20" s="184">
        <f>កុំព្យទ័រ១!K55</f>
        <v>3</v>
      </c>
      <c r="O20" s="184">
        <f>កុំព្យទ័រ១!L55</f>
        <v>11</v>
      </c>
      <c r="P20" s="184">
        <f>កុំព្យទ័រ១!M55</f>
        <v>8</v>
      </c>
      <c r="Q20" s="184">
        <f>កុំព្យទ័រ១!N55</f>
        <v>7</v>
      </c>
      <c r="R20" s="184">
        <f>កុំព្យទ័រ១!O55</f>
        <v>6</v>
      </c>
      <c r="S20" s="184">
        <f>កុំព្យទ័រ១!P55</f>
        <v>3</v>
      </c>
      <c r="T20" s="184">
        <f>កុំព្យទ័រ១!Q55</f>
        <v>3</v>
      </c>
      <c r="U20" s="190">
        <f>កុំព្យទ័រ៣!R50</f>
        <v>0</v>
      </c>
      <c r="V20" s="190">
        <f>កុំព្យទ័រ៣!S50</f>
        <v>0</v>
      </c>
    </row>
    <row r="21" spans="1:22" ht="19.899999999999999" customHeight="1" x14ac:dyDescent="0.25">
      <c r="A21" s="272"/>
      <c r="B21" s="273"/>
      <c r="C21" s="264" t="s">
        <v>3</v>
      </c>
      <c r="D21" s="265"/>
      <c r="E21" s="157">
        <f t="shared" ref="E21:V21" si="5">SUM(E18:E20)</f>
        <v>80</v>
      </c>
      <c r="F21" s="156">
        <f>SUM(F18:F20)</f>
        <v>56</v>
      </c>
      <c r="G21" s="156">
        <f>SUM(G18:G20)</f>
        <v>80</v>
      </c>
      <c r="H21" s="156">
        <f>SUM(H18:H20)</f>
        <v>56</v>
      </c>
      <c r="I21" s="156">
        <f t="shared" si="5"/>
        <v>0</v>
      </c>
      <c r="J21" s="156">
        <f t="shared" si="5"/>
        <v>0</v>
      </c>
      <c r="K21" s="156">
        <f t="shared" si="5"/>
        <v>1</v>
      </c>
      <c r="L21" s="156">
        <f t="shared" si="5"/>
        <v>0</v>
      </c>
      <c r="M21" s="156">
        <f t="shared" si="5"/>
        <v>28</v>
      </c>
      <c r="N21" s="156">
        <f t="shared" si="5"/>
        <v>20</v>
      </c>
      <c r="O21" s="156">
        <f t="shared" si="5"/>
        <v>29</v>
      </c>
      <c r="P21" s="156">
        <f t="shared" si="5"/>
        <v>21</v>
      </c>
      <c r="Q21" s="156">
        <f t="shared" si="5"/>
        <v>18</v>
      </c>
      <c r="R21" s="156">
        <f t="shared" si="5"/>
        <v>11</v>
      </c>
      <c r="S21" s="156">
        <f t="shared" si="5"/>
        <v>4</v>
      </c>
      <c r="T21" s="156">
        <f t="shared" si="5"/>
        <v>4</v>
      </c>
      <c r="U21" s="156">
        <f>SUM(U18:U20)</f>
        <v>0</v>
      </c>
      <c r="V21" s="156">
        <f t="shared" si="5"/>
        <v>0</v>
      </c>
    </row>
    <row r="22" spans="1:22" ht="19.899999999999999" customHeight="1" x14ac:dyDescent="0.25">
      <c r="A22" s="272"/>
      <c r="B22" s="273"/>
      <c r="C22" s="236" t="s">
        <v>343</v>
      </c>
      <c r="D22" s="187">
        <v>1</v>
      </c>
      <c r="E22" s="184">
        <f>មេកានិច១!B43</f>
        <v>10</v>
      </c>
      <c r="F22" s="184">
        <f>មេកានិច១!C43</f>
        <v>6</v>
      </c>
      <c r="G22" s="188">
        <f>SUM(K22+M22+O22+Q22+S22)</f>
        <v>14</v>
      </c>
      <c r="H22" s="188">
        <f>SUM(L22+N22+P22+R22+T22)</f>
        <v>5</v>
      </c>
      <c r="I22" s="189">
        <f>មេកានិច១!F43</f>
        <v>0</v>
      </c>
      <c r="J22" s="189">
        <f>មេកានិច១!G43</f>
        <v>0</v>
      </c>
      <c r="K22" s="184">
        <f>មេកានិច២!H48</f>
        <v>0</v>
      </c>
      <c r="L22" s="184">
        <f>មេកានិច២!I48</f>
        <v>0</v>
      </c>
      <c r="M22" s="184">
        <f>មេកានិច២!J48</f>
        <v>2</v>
      </c>
      <c r="N22" s="184">
        <f>មេកានិច២!K48</f>
        <v>0</v>
      </c>
      <c r="O22" s="184">
        <f>មេកានិច២!L48</f>
        <v>2</v>
      </c>
      <c r="P22" s="184">
        <f>មេកានិច២!M48</f>
        <v>2</v>
      </c>
      <c r="Q22" s="184">
        <f>មេកានិច២!N48</f>
        <v>5</v>
      </c>
      <c r="R22" s="184">
        <f>មេកានិច២!O48</f>
        <v>1</v>
      </c>
      <c r="S22" s="184">
        <f>មេកានិច២!P48</f>
        <v>5</v>
      </c>
      <c r="T22" s="184">
        <f>មេកានិច២!Q48</f>
        <v>2</v>
      </c>
      <c r="U22" s="190">
        <f>មេកានិច១!R43</f>
        <v>2</v>
      </c>
      <c r="V22" s="190">
        <f>មេកានិច១!S43</f>
        <v>0</v>
      </c>
    </row>
    <row r="23" spans="1:22" ht="19.899999999999999" customHeight="1" x14ac:dyDescent="0.25">
      <c r="A23" s="272"/>
      <c r="B23" s="273"/>
      <c r="C23" s="237"/>
      <c r="D23" s="191">
        <v>2</v>
      </c>
      <c r="E23" s="184">
        <f>មេកានិច២!B48</f>
        <v>15</v>
      </c>
      <c r="F23" s="184">
        <f>មេកានិច២!C48</f>
        <v>5</v>
      </c>
      <c r="G23" s="188">
        <f>SUM(K23+M23+O23+Q23+S23)</f>
        <v>0</v>
      </c>
      <c r="H23" s="188">
        <f>SUM(L23+N23+P23+R23+T23)</f>
        <v>0</v>
      </c>
      <c r="I23" s="189">
        <f>មេកានិច២!F48</f>
        <v>0</v>
      </c>
      <c r="J23" s="189">
        <f>មេកានិច២!G48</f>
        <v>0</v>
      </c>
      <c r="K23" s="184">
        <f>មេកានិច២!H49</f>
        <v>0</v>
      </c>
      <c r="L23" s="184">
        <f>មេកានិច២!I49</f>
        <v>0</v>
      </c>
      <c r="M23" s="184">
        <f>មេកានិច២!J49</f>
        <v>0</v>
      </c>
      <c r="N23" s="184">
        <f>មេកានិច២!K49</f>
        <v>0</v>
      </c>
      <c r="O23" s="184">
        <f>មេកានិច២!L49</f>
        <v>0</v>
      </c>
      <c r="P23" s="184">
        <f>មេកានិច២!M49</f>
        <v>0</v>
      </c>
      <c r="Q23" s="184">
        <f>មេកានិច២!N49</f>
        <v>0</v>
      </c>
      <c r="R23" s="184">
        <f>មេកានិច២!O49</f>
        <v>0</v>
      </c>
      <c r="S23" s="184">
        <f>មេកានិច២!P49</f>
        <v>0</v>
      </c>
      <c r="T23" s="184">
        <f>មេកានិច២!Q49</f>
        <v>0</v>
      </c>
      <c r="U23" s="190">
        <f>មេកានិច២!R48</f>
        <v>1</v>
      </c>
      <c r="V23" s="190">
        <f>មេកានិច២!S48</f>
        <v>0</v>
      </c>
    </row>
    <row r="24" spans="1:22" ht="19.899999999999999" customHeight="1" x14ac:dyDescent="0.25">
      <c r="A24" s="272"/>
      <c r="B24" s="273"/>
      <c r="C24" s="238"/>
      <c r="D24" s="191">
        <v>3</v>
      </c>
      <c r="E24" s="164"/>
      <c r="F24" s="164"/>
      <c r="G24" s="192"/>
      <c r="H24" s="192"/>
      <c r="I24" s="193"/>
      <c r="J24" s="193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94"/>
      <c r="V24" s="194"/>
    </row>
    <row r="25" spans="1:22" ht="19.899999999999999" customHeight="1" x14ac:dyDescent="0.25">
      <c r="A25" s="272"/>
      <c r="B25" s="273"/>
      <c r="C25" s="264" t="s">
        <v>3</v>
      </c>
      <c r="D25" s="265"/>
      <c r="E25" s="156">
        <f t="shared" ref="E25:V25" si="6">SUM(E22:E24)</f>
        <v>25</v>
      </c>
      <c r="F25" s="156">
        <f t="shared" si="6"/>
        <v>11</v>
      </c>
      <c r="G25" s="156">
        <f t="shared" si="6"/>
        <v>14</v>
      </c>
      <c r="H25" s="156">
        <f t="shared" si="6"/>
        <v>5</v>
      </c>
      <c r="I25" s="156">
        <f t="shared" si="6"/>
        <v>0</v>
      </c>
      <c r="J25" s="156">
        <f t="shared" si="6"/>
        <v>0</v>
      </c>
      <c r="K25" s="156">
        <f t="shared" si="6"/>
        <v>0</v>
      </c>
      <c r="L25" s="156">
        <f t="shared" si="6"/>
        <v>0</v>
      </c>
      <c r="M25" s="156">
        <f t="shared" si="6"/>
        <v>2</v>
      </c>
      <c r="N25" s="156">
        <f>SUM(N22:N24)</f>
        <v>0</v>
      </c>
      <c r="O25" s="156">
        <f t="shared" si="6"/>
        <v>2</v>
      </c>
      <c r="P25" s="156">
        <f t="shared" si="6"/>
        <v>2</v>
      </c>
      <c r="Q25" s="156">
        <f t="shared" si="6"/>
        <v>5</v>
      </c>
      <c r="R25" s="156">
        <f t="shared" si="6"/>
        <v>1</v>
      </c>
      <c r="S25" s="156">
        <f t="shared" si="6"/>
        <v>5</v>
      </c>
      <c r="T25" s="156">
        <f t="shared" si="6"/>
        <v>2</v>
      </c>
      <c r="U25" s="156">
        <f t="shared" si="6"/>
        <v>3</v>
      </c>
      <c r="V25" s="156">
        <f t="shared" si="6"/>
        <v>0</v>
      </c>
    </row>
    <row r="26" spans="1:22" ht="19.899999999999999" customHeight="1" x14ac:dyDescent="0.25">
      <c r="A26" s="272"/>
      <c r="B26" s="273"/>
      <c r="C26" s="251"/>
      <c r="D26" s="187">
        <v>1</v>
      </c>
      <c r="E26" s="184"/>
      <c r="F26" s="184"/>
      <c r="G26" s="188"/>
      <c r="H26" s="188"/>
      <c r="I26" s="189"/>
      <c r="J26" s="189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90"/>
      <c r="V26" s="190"/>
    </row>
    <row r="27" spans="1:22" ht="19.899999999999999" customHeight="1" x14ac:dyDescent="0.25">
      <c r="A27" s="272"/>
      <c r="B27" s="273"/>
      <c r="C27" s="251"/>
      <c r="D27" s="191">
        <v>2</v>
      </c>
      <c r="E27" s="184"/>
      <c r="F27" s="184"/>
      <c r="G27" s="188"/>
      <c r="H27" s="188"/>
      <c r="I27" s="189"/>
      <c r="J27" s="189"/>
      <c r="K27" s="184" t="s">
        <v>524</v>
      </c>
      <c r="L27" s="184"/>
      <c r="M27" s="184"/>
      <c r="N27" s="184"/>
      <c r="O27" s="184"/>
      <c r="P27" s="184"/>
      <c r="Q27" s="184"/>
      <c r="R27" s="184"/>
      <c r="S27" s="184"/>
      <c r="T27" s="184"/>
      <c r="U27" s="190"/>
      <c r="V27" s="190"/>
    </row>
    <row r="28" spans="1:22" ht="19.899999999999999" customHeight="1" x14ac:dyDescent="0.25">
      <c r="A28" s="272"/>
      <c r="B28" s="273"/>
      <c r="C28" s="251"/>
      <c r="D28" s="191">
        <v>3</v>
      </c>
      <c r="E28" s="184"/>
      <c r="F28" s="184"/>
      <c r="G28" s="188"/>
      <c r="H28" s="188"/>
      <c r="I28" s="189"/>
      <c r="J28" s="189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90"/>
      <c r="V28" s="190"/>
    </row>
    <row r="29" spans="1:22" ht="21" x14ac:dyDescent="0.25">
      <c r="A29" s="272"/>
      <c r="B29" s="273"/>
      <c r="C29" s="254" t="s">
        <v>3</v>
      </c>
      <c r="D29" s="255"/>
      <c r="E29" s="82">
        <f t="shared" ref="E29:V29" si="7">SUM(E26:E28)</f>
        <v>0</v>
      </c>
      <c r="F29" s="82">
        <f t="shared" si="7"/>
        <v>0</v>
      </c>
      <c r="G29" s="74">
        <f t="shared" si="7"/>
        <v>0</v>
      </c>
      <c r="H29" s="74">
        <f t="shared" si="7"/>
        <v>0</v>
      </c>
      <c r="I29" s="76">
        <f t="shared" si="7"/>
        <v>0</v>
      </c>
      <c r="J29" s="76">
        <f t="shared" si="7"/>
        <v>0</v>
      </c>
      <c r="K29" s="2">
        <f t="shared" si="7"/>
        <v>0</v>
      </c>
      <c r="L29" s="2">
        <f t="shared" si="7"/>
        <v>0</v>
      </c>
      <c r="M29" s="2">
        <f t="shared" si="7"/>
        <v>0</v>
      </c>
      <c r="N29" s="2">
        <f t="shared" si="7"/>
        <v>0</v>
      </c>
      <c r="O29" s="2">
        <f t="shared" si="7"/>
        <v>0</v>
      </c>
      <c r="P29" s="2">
        <f t="shared" si="7"/>
        <v>0</v>
      </c>
      <c r="Q29" s="2">
        <f t="shared" si="7"/>
        <v>0</v>
      </c>
      <c r="R29" s="2">
        <f t="shared" si="7"/>
        <v>0</v>
      </c>
      <c r="S29" s="2">
        <f t="shared" si="7"/>
        <v>0</v>
      </c>
      <c r="T29" s="2">
        <f t="shared" si="7"/>
        <v>0</v>
      </c>
      <c r="U29" s="78">
        <f t="shared" si="7"/>
        <v>0</v>
      </c>
      <c r="V29" s="78">
        <f t="shared" si="7"/>
        <v>0</v>
      </c>
    </row>
    <row r="30" spans="1:22" ht="22.9" customHeight="1" x14ac:dyDescent="0.25">
      <c r="A30" s="272"/>
      <c r="B30" s="273"/>
      <c r="C30" s="256" t="s">
        <v>66</v>
      </c>
      <c r="D30" s="257"/>
      <c r="E30" s="72">
        <f>SUM(E17,E21,E25,E29)</f>
        <v>159</v>
      </c>
      <c r="F30" s="185">
        <f t="shared" ref="F30:V30" si="8">SUM(F17,F21,F25,F29)</f>
        <v>73</v>
      </c>
      <c r="G30" s="148">
        <f>SUM(G25,G21,G17)</f>
        <v>146</v>
      </c>
      <c r="H30" s="148">
        <f>SUM(H17,H21,H25,H29)</f>
        <v>67</v>
      </c>
      <c r="I30" s="148">
        <f t="shared" si="8"/>
        <v>0</v>
      </c>
      <c r="J30" s="148">
        <f t="shared" si="8"/>
        <v>0</v>
      </c>
      <c r="K30" s="148">
        <f>SUM(K17,K21,K25,K29)</f>
        <v>1</v>
      </c>
      <c r="L30" s="148">
        <f t="shared" si="8"/>
        <v>0</v>
      </c>
      <c r="M30" s="148">
        <f t="shared" si="8"/>
        <v>30</v>
      </c>
      <c r="N30" s="148">
        <f>SUM(N17,N21,N25,N29)</f>
        <v>20</v>
      </c>
      <c r="O30" s="148">
        <f t="shared" si="8"/>
        <v>38</v>
      </c>
      <c r="P30" s="148">
        <f t="shared" si="8"/>
        <v>26</v>
      </c>
      <c r="Q30" s="148">
        <f t="shared" si="8"/>
        <v>39</v>
      </c>
      <c r="R30" s="148">
        <f t="shared" si="8"/>
        <v>14</v>
      </c>
      <c r="S30" s="148">
        <f t="shared" si="8"/>
        <v>38</v>
      </c>
      <c r="T30" s="148">
        <f t="shared" si="8"/>
        <v>7</v>
      </c>
      <c r="U30" s="186">
        <f t="shared" si="8"/>
        <v>5</v>
      </c>
      <c r="V30" s="186">
        <f t="shared" si="8"/>
        <v>0</v>
      </c>
    </row>
    <row r="31" spans="1:22" ht="16.149999999999999" customHeight="1" x14ac:dyDescent="0.25">
      <c r="A31" s="272"/>
      <c r="B31" s="273"/>
      <c r="C31" s="276" t="s">
        <v>44</v>
      </c>
      <c r="D31" s="277"/>
      <c r="E31" s="277"/>
      <c r="F31" s="278"/>
      <c r="G31" s="241">
        <f>IF(G30=0,0,G30/E30)</f>
        <v>0.91823899371069184</v>
      </c>
      <c r="H31" s="241">
        <f>IF(H30=0,0,H30/F30)</f>
        <v>0.9178082191780822</v>
      </c>
      <c r="I31" s="241">
        <f>IF(I30=0,0,I30/E30)</f>
        <v>0</v>
      </c>
      <c r="J31" s="241">
        <f>IF(J30=0,0,J30/F30)</f>
        <v>0</v>
      </c>
      <c r="K31" s="241">
        <f>IF(K30=0,0,K30/E30)</f>
        <v>6.2893081761006293E-3</v>
      </c>
      <c r="L31" s="241">
        <f>IF(L30=0,0,L30/F30)</f>
        <v>0</v>
      </c>
      <c r="M31" s="241">
        <f>IF(M30=0,0,M30/E30)</f>
        <v>0.18867924528301888</v>
      </c>
      <c r="N31" s="241">
        <f>IF(N30=0,0,N30/F30)</f>
        <v>0.27397260273972601</v>
      </c>
      <c r="O31" s="241">
        <f>IF(O30=0,0,O30/E30)</f>
        <v>0.2389937106918239</v>
      </c>
      <c r="P31" s="241">
        <f>IF(P30=0,0,P30/F30)</f>
        <v>0.35616438356164382</v>
      </c>
      <c r="Q31" s="241">
        <f>IF(Q30=0,0,Q30/E30)</f>
        <v>0.24528301886792453</v>
      </c>
      <c r="R31" s="241">
        <f>IF(R30=0,0,R30/F30)</f>
        <v>0.19178082191780821</v>
      </c>
      <c r="S31" s="241">
        <f>IF(S30=0,0,S30/E30)</f>
        <v>0.2389937106918239</v>
      </c>
      <c r="T31" s="241">
        <f>IF(T30=0,0,T30/F30)</f>
        <v>9.5890410958904104E-2</v>
      </c>
      <c r="U31" s="239">
        <f>IF(U30=0,0,U30/E30)</f>
        <v>3.1446540880503145E-2</v>
      </c>
      <c r="V31" s="239">
        <f>IF(V30=0,0,V30/F30)</f>
        <v>0</v>
      </c>
    </row>
    <row r="32" spans="1:22" ht="16.149999999999999" customHeight="1" x14ac:dyDescent="0.25">
      <c r="A32" s="274"/>
      <c r="B32" s="275"/>
      <c r="C32" s="279"/>
      <c r="D32" s="280"/>
      <c r="E32" s="280"/>
      <c r="F32" s="281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0"/>
      <c r="V32" s="240"/>
    </row>
    <row r="33" spans="1:22" s="249" customFormat="1" x14ac:dyDescent="0.25"/>
    <row r="34" spans="1:22" ht="23.25" x14ac:dyDescent="0.65">
      <c r="A34" s="36" t="s">
        <v>96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29"/>
    </row>
    <row r="35" spans="1:22" ht="30" customHeight="1" x14ac:dyDescent="0.25">
      <c r="A35" s="250" t="s">
        <v>62</v>
      </c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</row>
    <row r="36" spans="1:22" ht="30" customHeight="1" x14ac:dyDescent="0.25">
      <c r="A36" s="248" t="s">
        <v>72</v>
      </c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</row>
    <row r="37" spans="1:22" ht="23.25" x14ac:dyDescent="0.65">
      <c r="A37" s="247" t="s">
        <v>95</v>
      </c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</row>
    <row r="38" spans="1:22" ht="23.25" x14ac:dyDescent="0.65"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3.25" x14ac:dyDescent="0.65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3.25" x14ac:dyDescent="0.65"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3.25" x14ac:dyDescent="0.65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3.25" x14ac:dyDescent="0.65"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3.25" x14ac:dyDescent="0.65"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3.25" x14ac:dyDescent="0.65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3.25" x14ac:dyDescent="0.65"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3.25" x14ac:dyDescent="0.65"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3.25" x14ac:dyDescent="0.65"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1.75" customHeight="1" x14ac:dyDescent="0.65"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3.25" hidden="1" x14ac:dyDescent="0.65"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8.25" customHeight="1" x14ac:dyDescent="0.65"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23.25" x14ac:dyDescent="0.65">
      <c r="B51" s="245" t="s">
        <v>70</v>
      </c>
      <c r="C51" s="245"/>
      <c r="D51" s="247" t="s">
        <v>73</v>
      </c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3"/>
      <c r="R51" s="3"/>
      <c r="S51" s="3"/>
      <c r="T51" s="3"/>
      <c r="U51" s="3"/>
      <c r="V51" s="3"/>
    </row>
    <row r="52" spans="1:22" ht="23.25" x14ac:dyDescent="0.65">
      <c r="A52" s="248" t="s">
        <v>74</v>
      </c>
      <c r="B52" s="248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3"/>
      <c r="R52" s="3"/>
      <c r="S52" s="3"/>
      <c r="T52" s="3"/>
      <c r="U52" s="3"/>
      <c r="V52" s="3"/>
    </row>
    <row r="53" spans="1:22" ht="23.25" x14ac:dyDescent="0.65">
      <c r="A53" s="248" t="s">
        <v>75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3"/>
      <c r="R53" s="3"/>
      <c r="S53" s="3"/>
      <c r="T53" s="3"/>
      <c r="U53" s="3"/>
      <c r="V53" s="3"/>
    </row>
    <row r="54" spans="1:22" ht="23.25" x14ac:dyDescent="0.65">
      <c r="A54" s="248" t="s">
        <v>76</v>
      </c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3"/>
      <c r="R54" s="3"/>
      <c r="S54" s="3"/>
      <c r="T54" s="3"/>
      <c r="U54" s="3"/>
      <c r="V54" s="3"/>
    </row>
    <row r="55" spans="1:22" ht="25.5" x14ac:dyDescent="0.7">
      <c r="A55" s="235" t="s">
        <v>56</v>
      </c>
      <c r="B55" s="235"/>
      <c r="C55" s="235"/>
      <c r="D55" s="235"/>
      <c r="E55" s="235"/>
      <c r="F55" s="23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6.149999999999999" customHeight="1" x14ac:dyDescent="0.7">
      <c r="A56" s="246"/>
      <c r="B56" s="246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3"/>
      <c r="R56" s="3"/>
      <c r="S56" s="3"/>
      <c r="T56" s="3"/>
      <c r="U56" s="3"/>
      <c r="V56" s="3"/>
    </row>
    <row r="57" spans="1:22" ht="16.149999999999999" customHeight="1" x14ac:dyDescent="0.7">
      <c r="A57" s="246"/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3"/>
      <c r="R57" s="3"/>
      <c r="S57" s="3"/>
      <c r="T57" s="3"/>
      <c r="U57" s="3"/>
      <c r="V57" s="3"/>
    </row>
    <row r="58" spans="1:22" ht="16.149999999999999" customHeight="1" x14ac:dyDescent="0.7">
      <c r="A58" s="246"/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3"/>
      <c r="R58" s="3"/>
      <c r="S58" s="3"/>
      <c r="T58" s="3"/>
      <c r="U58" s="3"/>
      <c r="V58" s="3"/>
    </row>
    <row r="59" spans="1:22" ht="25.5" x14ac:dyDescent="0.7">
      <c r="A59" s="235" t="s">
        <v>57</v>
      </c>
      <c r="B59" s="235"/>
      <c r="C59" s="235"/>
      <c r="D59" s="235"/>
      <c r="E59" s="235"/>
      <c r="F59" s="23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15" customHeight="1" x14ac:dyDescent="0.7">
      <c r="A60" s="246"/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3"/>
      <c r="R60" s="3"/>
      <c r="S60" s="3"/>
      <c r="T60" s="3"/>
      <c r="U60" s="3"/>
      <c r="V60" s="3"/>
    </row>
    <row r="61" spans="1:22" ht="13.15" customHeight="1" x14ac:dyDescent="0.7">
      <c r="A61" s="246"/>
      <c r="B61" s="246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3"/>
      <c r="R61" s="3"/>
      <c r="S61" s="3"/>
      <c r="T61" s="3"/>
      <c r="U61" s="3"/>
      <c r="V61" s="3"/>
    </row>
    <row r="62" spans="1:22" ht="13.15" customHeight="1" x14ac:dyDescent="0.7">
      <c r="A62" s="246"/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3"/>
      <c r="R62" s="3"/>
      <c r="S62" s="3"/>
      <c r="T62" s="3"/>
      <c r="U62" s="3"/>
      <c r="V62" s="3"/>
    </row>
    <row r="63" spans="1:22" ht="25.5" x14ac:dyDescent="0.7">
      <c r="A63" s="235" t="s">
        <v>58</v>
      </c>
      <c r="B63" s="235"/>
      <c r="C63" s="235"/>
      <c r="D63" s="235"/>
      <c r="E63" s="235"/>
      <c r="F63" s="235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24" customHeight="1" x14ac:dyDescent="0.25">
      <c r="A64" s="553" t="s">
        <v>534</v>
      </c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</row>
    <row r="65" spans="1:22" ht="24" customHeight="1" x14ac:dyDescent="0.25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</row>
    <row r="66" spans="1:22" ht="24" customHeight="1" x14ac:dyDescent="0.25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</row>
    <row r="67" spans="1:22" ht="24" customHeight="1" x14ac:dyDescent="0.25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</row>
    <row r="68" spans="1:22" ht="21.75" customHeight="1" x14ac:dyDescent="0.7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23"/>
      <c r="N68" s="253" t="str">
        <f>អគ្គិសនី១!O48</f>
        <v>ថ្ងៃអង្គារ  ១៣កើត ខែចេត្រ ឆ្នាំម្សាញ់ សប្តស័ក ព.ស ២៥៦៩</v>
      </c>
      <c r="O68" s="253"/>
      <c r="P68" s="253"/>
      <c r="Q68" s="253"/>
      <c r="R68" s="253"/>
      <c r="S68" s="253"/>
      <c r="T68" s="253"/>
      <c r="U68" s="253"/>
      <c r="V68" s="253"/>
    </row>
    <row r="69" spans="1:22" ht="21" customHeight="1" x14ac:dyDescent="0.65">
      <c r="M69" s="23"/>
      <c r="N69" s="253" t="str">
        <f>អគ្គិសនី១!P49</f>
        <v>ធ្វើនៅដុនបូស្កូប៉ោយប៉ែត ថ្ងៃទី៣១ខែ មីនាឆ្នាំ ២០២៦</v>
      </c>
      <c r="O69" s="253"/>
      <c r="P69" s="253"/>
      <c r="Q69" s="253"/>
      <c r="R69" s="253"/>
      <c r="S69" s="253"/>
      <c r="T69" s="253"/>
      <c r="U69" s="253"/>
      <c r="V69" s="253"/>
    </row>
    <row r="70" spans="1:22" ht="18.600000000000001" customHeight="1" x14ac:dyDescent="0.65">
      <c r="M70" s="36"/>
      <c r="N70" s="253" t="s">
        <v>61</v>
      </c>
      <c r="O70" s="253"/>
      <c r="P70" s="253"/>
      <c r="Q70" s="253"/>
      <c r="R70" s="253"/>
      <c r="S70" s="253"/>
      <c r="T70" s="253"/>
      <c r="U70" s="253"/>
      <c r="V70" s="253"/>
    </row>
    <row r="71" spans="1:22" x14ac:dyDescent="0.25">
      <c r="E71" s="249"/>
      <c r="F71" s="249"/>
      <c r="G71" s="249"/>
      <c r="H71" s="249"/>
      <c r="I71" s="249"/>
      <c r="J71" s="249"/>
      <c r="K71" s="249"/>
    </row>
    <row r="72" spans="1:22" ht="20.45" customHeight="1" x14ac:dyDescent="0.65">
      <c r="A72" s="449" t="s">
        <v>17</v>
      </c>
      <c r="B72" s="449"/>
      <c r="C72" s="449"/>
      <c r="D72" s="449"/>
      <c r="E72" s="449"/>
      <c r="F72" s="449"/>
      <c r="G72" s="449"/>
      <c r="H72" s="49"/>
      <c r="I72" s="49"/>
      <c r="J72" s="49"/>
      <c r="K72" s="49"/>
    </row>
    <row r="73" spans="1:22" ht="20.45" customHeight="1" x14ac:dyDescent="0.65">
      <c r="A73" s="252" t="s">
        <v>18</v>
      </c>
      <c r="B73" s="252"/>
      <c r="C73" s="252"/>
      <c r="D73" s="252"/>
      <c r="E73" s="252"/>
      <c r="F73" s="252"/>
      <c r="G73" s="252"/>
    </row>
  </sheetData>
  <mergeCells count="76">
    <mergeCell ref="A7:V7"/>
    <mergeCell ref="A5:V5"/>
    <mergeCell ref="A4:V4"/>
    <mergeCell ref="K11:T11"/>
    <mergeCell ref="G12:H12"/>
    <mergeCell ref="I12:J12"/>
    <mergeCell ref="G11:J11"/>
    <mergeCell ref="Q12:R12"/>
    <mergeCell ref="S12:T12"/>
    <mergeCell ref="C11:C13"/>
    <mergeCell ref="D11:D13"/>
    <mergeCell ref="A9:V9"/>
    <mergeCell ref="A10:F10"/>
    <mergeCell ref="K12:L12"/>
    <mergeCell ref="M12:N12"/>
    <mergeCell ref="O12:P12"/>
    <mergeCell ref="A73:G73"/>
    <mergeCell ref="C29:D29"/>
    <mergeCell ref="C30:D30"/>
    <mergeCell ref="A11:B13"/>
    <mergeCell ref="C21:D21"/>
    <mergeCell ref="C25:D25"/>
    <mergeCell ref="E71:K71"/>
    <mergeCell ref="E11:F12"/>
    <mergeCell ref="J31:J32"/>
    <mergeCell ref="A14:B32"/>
    <mergeCell ref="C31:F32"/>
    <mergeCell ref="G31:G32"/>
    <mergeCell ref="A64:V67"/>
    <mergeCell ref="I31:I32"/>
    <mergeCell ref="C17:D17"/>
    <mergeCell ref="U11:V12"/>
    <mergeCell ref="A72:G72"/>
    <mergeCell ref="D51:P51"/>
    <mergeCell ref="A62:P62"/>
    <mergeCell ref="N68:V68"/>
    <mergeCell ref="N69:V69"/>
    <mergeCell ref="N70:V70"/>
    <mergeCell ref="A60:P60"/>
    <mergeCell ref="A61:P61"/>
    <mergeCell ref="C26:C28"/>
    <mergeCell ref="M31:M32"/>
    <mergeCell ref="N31:N32"/>
    <mergeCell ref="K31:K32"/>
    <mergeCell ref="H31:H32"/>
    <mergeCell ref="O31:O32"/>
    <mergeCell ref="P31:P32"/>
    <mergeCell ref="B51:C51"/>
    <mergeCell ref="A57:P57"/>
    <mergeCell ref="A63:F63"/>
    <mergeCell ref="A37:N37"/>
    <mergeCell ref="A56:P56"/>
    <mergeCell ref="A58:P58"/>
    <mergeCell ref="A36:P36"/>
    <mergeCell ref="A52:P52"/>
    <mergeCell ref="A54:P54"/>
    <mergeCell ref="A53:P53"/>
    <mergeCell ref="A33:XFD33"/>
    <mergeCell ref="A35:L35"/>
    <mergeCell ref="L31:L32"/>
    <mergeCell ref="A1:U1"/>
    <mergeCell ref="A2:U2"/>
    <mergeCell ref="A8:V8"/>
    <mergeCell ref="A55:F55"/>
    <mergeCell ref="A59:F59"/>
    <mergeCell ref="C14:C16"/>
    <mergeCell ref="C22:C24"/>
    <mergeCell ref="U31:U32"/>
    <mergeCell ref="V31:V32"/>
    <mergeCell ref="Q31:Q32"/>
    <mergeCell ref="R31:R32"/>
    <mergeCell ref="T31:T32"/>
    <mergeCell ref="S31:S32"/>
    <mergeCell ref="C18:C20"/>
    <mergeCell ref="A3:V3"/>
    <mergeCell ref="A6:V6"/>
  </mergeCells>
  <pageMargins left="0.12" right="0.12" top="0.26" bottom="0.17" header="0.16" footer="0.12"/>
  <pageSetup paperSize="9" orientation="landscape" r:id="rId1"/>
  <ignoredErrors>
    <ignoredError sqref="R15 P18 G17 G21:H2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1"/>
  <sheetViews>
    <sheetView view="pageLayout" zoomScale="115" zoomScaleNormal="110" zoomScaleSheetLayoutView="110" zoomScalePageLayoutView="115" workbookViewId="0">
      <selection activeCell="G26" sqref="G26"/>
    </sheetView>
  </sheetViews>
  <sheetFormatPr defaultRowHeight="15" x14ac:dyDescent="0.25"/>
  <cols>
    <col min="1" max="1" width="9.140625" customWidth="1"/>
    <col min="2" max="2" width="7.28515625" customWidth="1"/>
    <col min="3" max="3" width="6.7109375" customWidth="1"/>
    <col min="5" max="5" width="6.7109375" customWidth="1"/>
    <col min="6" max="6" width="6.140625" customWidth="1"/>
    <col min="7" max="7" width="7.42578125" customWidth="1"/>
    <col min="8" max="18" width="5.7109375" customWidth="1"/>
    <col min="19" max="19" width="4.7109375" customWidth="1"/>
    <col min="20" max="21" width="6" customWidth="1"/>
    <col min="22" max="22" width="6.7109375" customWidth="1"/>
  </cols>
  <sheetData>
    <row r="2" spans="1:22" ht="27.95" customHeight="1" x14ac:dyDescent="0.25">
      <c r="A2" s="322"/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</row>
    <row r="3" spans="1:22" ht="23.25" x14ac:dyDescent="0.65">
      <c r="A3" s="233" t="s">
        <v>13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61"/>
    </row>
    <row r="4" spans="1:22" ht="23.25" x14ac:dyDescent="0.65">
      <c r="A4" s="233" t="s">
        <v>19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61"/>
    </row>
    <row r="5" spans="1:22" ht="18" customHeight="1" x14ac:dyDescent="0.25">
      <c r="A5" s="243">
        <v>6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7"/>
    </row>
    <row r="6" spans="1:22" ht="23.25" x14ac:dyDescent="0.65">
      <c r="A6" s="244" t="s">
        <v>15</v>
      </c>
      <c r="B6" s="244"/>
      <c r="C6" s="244"/>
      <c r="D6" s="244"/>
      <c r="E6" s="244"/>
      <c r="F6" s="244"/>
      <c r="G6" s="244"/>
      <c r="H6" s="244"/>
      <c r="I6" s="244"/>
      <c r="J6" s="244"/>
      <c r="S6" s="321" t="s">
        <v>63</v>
      </c>
      <c r="T6" s="321"/>
      <c r="U6" s="321"/>
    </row>
    <row r="7" spans="1:22" ht="23.25" x14ac:dyDescent="0.65">
      <c r="A7" s="244" t="str">
        <f>ស្ថិតិលទ្ធផលសិក្សាតាមនិទ្ទេស!A5</f>
        <v>មន្ទីរអប់រំ យុវជន និងកីឡា ខេត្តបន្ទាយមានជ័យ</v>
      </c>
      <c r="B7" s="244"/>
      <c r="C7" s="244"/>
      <c r="D7" s="244"/>
      <c r="E7" s="244"/>
      <c r="F7" s="244"/>
      <c r="G7" s="244"/>
      <c r="H7" s="244"/>
      <c r="I7" s="244"/>
      <c r="J7" s="244"/>
    </row>
    <row r="8" spans="1:22" ht="23.25" x14ac:dyDescent="0.65">
      <c r="A8" s="244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8" s="244"/>
      <c r="C8" s="244"/>
      <c r="D8" s="244"/>
      <c r="E8" s="244"/>
      <c r="F8" s="244"/>
      <c r="G8" s="244"/>
      <c r="H8" s="244"/>
      <c r="I8" s="244"/>
      <c r="J8" s="244"/>
    </row>
    <row r="10" spans="1:22" ht="23.25" x14ac:dyDescent="0.65">
      <c r="A10" s="233" t="str">
        <f>ស្ថិតិលទ្ធផលសិក្សាតាមនិទ្ទេស!A9</f>
        <v>ស្ថិតិលទ្ធផលការសិក្សាតាមនិទ្ទេសរបស់សិស្សផ្នែកបច្ចេកទេសសម្រាខែមីនា ឆ្នាំសិក្សា ២០២៥-២០២៦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61"/>
    </row>
    <row r="11" spans="1:22" ht="23.25" x14ac:dyDescent="0.65">
      <c r="A11" s="323" t="s">
        <v>521</v>
      </c>
      <c r="B11" s="323"/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28"/>
      <c r="O11" s="28"/>
      <c r="P11" s="28"/>
      <c r="Q11" s="28"/>
      <c r="R11" s="28"/>
      <c r="S11" s="28"/>
      <c r="T11" s="28"/>
    </row>
    <row r="12" spans="1:22" ht="24.95" customHeight="1" x14ac:dyDescent="0.25">
      <c r="A12" s="325" t="s">
        <v>46</v>
      </c>
      <c r="B12" s="316" t="s">
        <v>239</v>
      </c>
      <c r="C12" s="318"/>
      <c r="D12" s="328" t="s">
        <v>67</v>
      </c>
      <c r="E12" s="328"/>
      <c r="F12" s="328"/>
      <c r="G12" s="328"/>
      <c r="H12" s="316" t="s">
        <v>8</v>
      </c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8"/>
      <c r="T12" s="304" t="s">
        <v>85</v>
      </c>
      <c r="U12" s="305"/>
    </row>
    <row r="13" spans="1:22" ht="45" customHeight="1" x14ac:dyDescent="0.25">
      <c r="A13" s="326"/>
      <c r="B13" s="314"/>
      <c r="C13" s="315"/>
      <c r="D13" s="314" t="s">
        <v>77</v>
      </c>
      <c r="E13" s="315"/>
      <c r="F13" s="312" t="s">
        <v>86</v>
      </c>
      <c r="G13" s="313"/>
      <c r="H13" s="310" t="s">
        <v>9</v>
      </c>
      <c r="I13" s="311"/>
      <c r="J13" s="310" t="s">
        <v>10</v>
      </c>
      <c r="K13" s="311"/>
      <c r="L13" s="310" t="s">
        <v>11</v>
      </c>
      <c r="M13" s="311"/>
      <c r="N13" s="310" t="s">
        <v>12</v>
      </c>
      <c r="O13" s="311"/>
      <c r="P13" s="310" t="s">
        <v>43</v>
      </c>
      <c r="Q13" s="311"/>
      <c r="R13" s="319" t="s">
        <v>88</v>
      </c>
      <c r="S13" s="320"/>
      <c r="T13" s="306"/>
      <c r="U13" s="307"/>
    </row>
    <row r="14" spans="1:22" ht="24.95" customHeight="1" x14ac:dyDescent="0.25">
      <c r="A14" s="327"/>
      <c r="B14" s="4" t="s">
        <v>3</v>
      </c>
      <c r="C14" s="4" t="s">
        <v>4</v>
      </c>
      <c r="D14" s="168" t="s">
        <v>3</v>
      </c>
      <c r="E14" s="168" t="s">
        <v>4</v>
      </c>
      <c r="F14" s="167" t="s">
        <v>3</v>
      </c>
      <c r="G14" s="167" t="s">
        <v>4</v>
      </c>
      <c r="H14" s="168" t="s">
        <v>3</v>
      </c>
      <c r="I14" s="168" t="s">
        <v>4</v>
      </c>
      <c r="J14" s="168" t="s">
        <v>3</v>
      </c>
      <c r="K14" s="168" t="s">
        <v>4</v>
      </c>
      <c r="L14" s="168" t="s">
        <v>3</v>
      </c>
      <c r="M14" s="168" t="s">
        <v>4</v>
      </c>
      <c r="N14" s="168" t="s">
        <v>3</v>
      </c>
      <c r="O14" s="168" t="s">
        <v>4</v>
      </c>
      <c r="P14" s="168" t="s">
        <v>3</v>
      </c>
      <c r="Q14" s="168" t="s">
        <v>4</v>
      </c>
      <c r="R14" s="181" t="s">
        <v>3</v>
      </c>
      <c r="S14" s="181" t="s">
        <v>4</v>
      </c>
      <c r="T14" s="308"/>
      <c r="U14" s="309"/>
    </row>
    <row r="15" spans="1:22" ht="24.95" customHeight="1" x14ac:dyDescent="0.25">
      <c r="A15" s="59" t="s">
        <v>522</v>
      </c>
      <c r="B15" s="155">
        <v>170</v>
      </c>
      <c r="C15" s="155">
        <v>78</v>
      </c>
      <c r="D15" s="155">
        <v>159</v>
      </c>
      <c r="E15" s="155">
        <v>73</v>
      </c>
      <c r="F15" s="155">
        <v>0</v>
      </c>
      <c r="G15" s="155">
        <v>0</v>
      </c>
      <c r="H15" s="155">
        <v>3</v>
      </c>
      <c r="I15" s="155">
        <v>1</v>
      </c>
      <c r="J15" s="155">
        <v>19</v>
      </c>
      <c r="K15" s="155">
        <v>10</v>
      </c>
      <c r="L15" s="155">
        <v>40</v>
      </c>
      <c r="M15" s="155">
        <v>25</v>
      </c>
      <c r="N15" s="155">
        <v>51</v>
      </c>
      <c r="O15" s="155">
        <v>21</v>
      </c>
      <c r="P15" s="155">
        <v>46</v>
      </c>
      <c r="Q15" s="155">
        <v>16</v>
      </c>
      <c r="R15" s="155">
        <v>11</v>
      </c>
      <c r="S15" s="155">
        <v>5</v>
      </c>
      <c r="T15" s="180"/>
      <c r="U15" s="62"/>
    </row>
    <row r="16" spans="1:22" ht="24.95" customHeight="1" x14ac:dyDescent="0.25">
      <c r="A16" s="60" t="s">
        <v>523</v>
      </c>
      <c r="B16" s="81">
        <f>ស្ថិតិលទ្ធផលសិក្សាតាមនិទ្ទេស!E30</f>
        <v>159</v>
      </c>
      <c r="C16" s="81">
        <f>ស្ថិតិលទ្ធផលសិក្សាតាមនិទ្ទេស!F30</f>
        <v>73</v>
      </c>
      <c r="D16" s="182">
        <f>SUM(H16+J16+L16+N16+P16)</f>
        <v>146</v>
      </c>
      <c r="E16" s="182">
        <f>SUM(I16+K16+M16+O16+Q16)</f>
        <v>67</v>
      </c>
      <c r="F16" s="182">
        <f>ស្ថិតិលទ្ធផលសិក្សាតាមនិទ្ទេស!I30</f>
        <v>0</v>
      </c>
      <c r="G16" s="182">
        <f>ស្ថិតិលទ្ធផលសិក្សាតាមនិទ្ទេស!J30</f>
        <v>0</v>
      </c>
      <c r="H16" s="182">
        <f>ស្ថិតិលទ្ធផលសិក្សាតាមនិទ្ទេស!K30</f>
        <v>1</v>
      </c>
      <c r="I16" s="182">
        <f>ស្ថិតិលទ្ធផលសិក្សាតាមនិទ្ទេស!L30</f>
        <v>0</v>
      </c>
      <c r="J16" s="182">
        <f>ស្ថិតិលទ្ធផលសិក្សាតាមនិទ្ទេស!M30</f>
        <v>30</v>
      </c>
      <c r="K16" s="182">
        <f>ស្ថិតិលទ្ធផលសិក្សាតាមនិទ្ទេស!N30</f>
        <v>20</v>
      </c>
      <c r="L16" s="182">
        <f>ស្ថិតិលទ្ធផលសិក្សាតាមនិទ្ទេស!O30</f>
        <v>38</v>
      </c>
      <c r="M16" s="182">
        <f>ស្ថិតិលទ្ធផលសិក្សាតាមនិទ្ទេស!P30</f>
        <v>26</v>
      </c>
      <c r="N16" s="182">
        <f>ស្ថិតិលទ្ធផលសិក្សាតាមនិទ្ទេស!Q30</f>
        <v>39</v>
      </c>
      <c r="O16" s="182">
        <f>ស្ថិតិលទ្ធផលសិក្សាតាមនិទ្ទេស!R30</f>
        <v>14</v>
      </c>
      <c r="P16" s="182">
        <f>ស្ថិតិលទ្ធផលសិក្សាតាមនិទ្ទេស!S30</f>
        <v>38</v>
      </c>
      <c r="Q16" s="182">
        <f>ស្ថិតិលទ្ធផលសិក្សាតាមនិទ្ទេស!T30</f>
        <v>7</v>
      </c>
      <c r="R16" s="183">
        <f>ស្ថិតិលទ្ធផលសិក្សាតាមនិទ្ទេស!U30</f>
        <v>5</v>
      </c>
      <c r="S16" s="183">
        <f>ស្ថិតិលទ្ធផលសិក្សាតាមនិទ្ទេស!V30</f>
        <v>0</v>
      </c>
      <c r="T16" s="60"/>
      <c r="U16" s="60"/>
    </row>
    <row r="19" spans="3:22" ht="23.25" x14ac:dyDescent="0.65"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324" t="str">
        <f>អគ្គិសនី១!O48</f>
        <v>ថ្ងៃអង្គារ  ១៣កើត ខែចេត្រ ឆ្នាំម្សាញ់ សប្តស័ក ព.ស ២៥៦៩</v>
      </c>
      <c r="N19" s="324"/>
      <c r="O19" s="324"/>
      <c r="P19" s="324"/>
      <c r="Q19" s="324"/>
      <c r="R19" s="324"/>
      <c r="S19" s="324"/>
      <c r="T19" s="324"/>
      <c r="U19" s="324"/>
      <c r="V19" s="23"/>
    </row>
    <row r="20" spans="3:22" ht="23.25" x14ac:dyDescent="0.65">
      <c r="K20" s="23"/>
      <c r="L20" s="23"/>
      <c r="M20" s="324" t="str">
        <f>អគ្គិសនី១!P49</f>
        <v>ធ្វើនៅដុនបូស្កូប៉ោយប៉ែត ថ្ងៃទី៣១ខែ មីនាឆ្នាំ ២០២៦</v>
      </c>
      <c r="N20" s="324"/>
      <c r="O20" s="324"/>
      <c r="P20" s="324"/>
      <c r="Q20" s="324"/>
      <c r="R20" s="324"/>
      <c r="S20" s="324"/>
      <c r="T20" s="324"/>
      <c r="U20" s="324"/>
      <c r="V20" s="23"/>
    </row>
    <row r="21" spans="3:22" ht="23.25" x14ac:dyDescent="0.65">
      <c r="K21" s="36"/>
      <c r="L21" s="36"/>
      <c r="M21" s="321" t="s">
        <v>16</v>
      </c>
      <c r="N21" s="321"/>
      <c r="O21" s="321"/>
      <c r="P21" s="321"/>
      <c r="Q21" s="321"/>
      <c r="R21" s="321"/>
      <c r="S21" s="321"/>
      <c r="T21" s="321"/>
      <c r="U21" s="321"/>
      <c r="V21" s="36"/>
    </row>
  </sheetData>
  <mergeCells count="26">
    <mergeCell ref="M21:U21"/>
    <mergeCell ref="A2:U2"/>
    <mergeCell ref="A3:U3"/>
    <mergeCell ref="A4:U4"/>
    <mergeCell ref="A5:U5"/>
    <mergeCell ref="A10:U10"/>
    <mergeCell ref="A6:J6"/>
    <mergeCell ref="A7:J7"/>
    <mergeCell ref="S6:U6"/>
    <mergeCell ref="A8:J8"/>
    <mergeCell ref="A11:M11"/>
    <mergeCell ref="M19:U19"/>
    <mergeCell ref="M20:U20"/>
    <mergeCell ref="A12:A14"/>
    <mergeCell ref="B12:C13"/>
    <mergeCell ref="D12:G12"/>
    <mergeCell ref="F13:G13"/>
    <mergeCell ref="D13:E13"/>
    <mergeCell ref="H12:S12"/>
    <mergeCell ref="H13:I13"/>
    <mergeCell ref="R13:S13"/>
    <mergeCell ref="T12:U14"/>
    <mergeCell ref="J13:K13"/>
    <mergeCell ref="L13:M13"/>
    <mergeCell ref="N13:O13"/>
    <mergeCell ref="P13:Q13"/>
  </mergeCells>
  <pageMargins left="0.12" right="0.12" top="0.16" bottom="0.12" header="0.2" footer="0.12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0"/>
  <sheetViews>
    <sheetView view="pageBreakPreview" topLeftCell="A3" zoomScale="115" zoomScaleNormal="85" zoomScaleSheetLayoutView="115" workbookViewId="0">
      <selection activeCell="G12" sqref="G12:W21"/>
    </sheetView>
  </sheetViews>
  <sheetFormatPr defaultRowHeight="15" x14ac:dyDescent="0.25"/>
  <cols>
    <col min="1" max="1" width="4.7109375" customWidth="1"/>
    <col min="2" max="2" width="6.85546875" style="94" customWidth="1"/>
    <col min="3" max="3" width="11.7109375" style="94" customWidth="1"/>
    <col min="4" max="4" width="5.5703125" customWidth="1"/>
    <col min="5" max="5" width="11.85546875" customWidth="1"/>
    <col min="6" max="6" width="6.42578125" customWidth="1"/>
    <col min="7" max="7" width="4.7109375" customWidth="1"/>
    <col min="8" max="11" width="4.85546875" customWidth="1"/>
    <col min="12" max="12" width="5" customWidth="1"/>
    <col min="13" max="13" width="5.140625" customWidth="1"/>
    <col min="14" max="14" width="5" customWidth="1"/>
    <col min="15" max="15" width="4.85546875" customWidth="1"/>
    <col min="16" max="16" width="5.140625" customWidth="1"/>
    <col min="17" max="17" width="6.28515625" customWidth="1"/>
    <col min="18" max="18" width="9.7109375" customWidth="1"/>
    <col min="19" max="19" width="6.7109375" customWidth="1"/>
    <col min="20" max="20" width="5.5703125" customWidth="1"/>
    <col min="21" max="21" width="7" customWidth="1"/>
    <col min="22" max="22" width="6.7109375" customWidth="1"/>
    <col min="23" max="23" width="7.28515625" customWidth="1"/>
  </cols>
  <sheetData>
    <row r="1" spans="1:23" ht="25.5" x14ac:dyDescent="0.25">
      <c r="A1" s="393" t="s">
        <v>13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</row>
    <row r="2" spans="1:23" ht="28.5" x14ac:dyDescent="0.25">
      <c r="A2" s="394" t="s">
        <v>19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</row>
    <row r="3" spans="1:23" ht="30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</row>
    <row r="4" spans="1:23" ht="23.25" x14ac:dyDescent="0.65">
      <c r="A4" s="244" t="s">
        <v>15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7"/>
      <c r="M4" s="7"/>
      <c r="N4" s="7"/>
      <c r="O4" s="7"/>
      <c r="P4" s="7"/>
      <c r="Q4" s="6"/>
      <c r="R4" s="5"/>
      <c r="S4" s="5"/>
      <c r="U4" s="395" t="s">
        <v>64</v>
      </c>
      <c r="V4" s="395"/>
      <c r="W4" s="395"/>
    </row>
    <row r="5" spans="1:23" ht="23.25" x14ac:dyDescent="0.65">
      <c r="A5" s="244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7"/>
      <c r="M5" s="7"/>
      <c r="N5" s="7"/>
      <c r="O5" s="7"/>
      <c r="P5" s="7"/>
      <c r="Q5" s="6"/>
      <c r="R5" s="5"/>
      <c r="S5" s="5"/>
    </row>
    <row r="6" spans="1:23" ht="23.25" x14ac:dyDescent="0.65">
      <c r="A6" s="244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7"/>
      <c r="M6" s="7"/>
      <c r="N6" s="7"/>
      <c r="O6" s="7"/>
      <c r="P6" s="7"/>
      <c r="Q6" s="6"/>
      <c r="R6" s="5"/>
      <c r="S6" s="5"/>
    </row>
    <row r="7" spans="1:23" ht="23.25" x14ac:dyDescent="0.25">
      <c r="A7" s="396" t="s">
        <v>515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</row>
    <row r="8" spans="1:23" ht="21" x14ac:dyDescent="0.25">
      <c r="A8" s="397" t="s">
        <v>446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</row>
    <row r="9" spans="1:23" ht="24.95" customHeight="1" x14ac:dyDescent="0.25">
      <c r="A9" s="398" t="s">
        <v>0</v>
      </c>
      <c r="B9" s="399" t="s">
        <v>25</v>
      </c>
      <c r="C9" s="398" t="s">
        <v>20</v>
      </c>
      <c r="D9" s="398" t="s">
        <v>21</v>
      </c>
      <c r="E9" s="398" t="s">
        <v>50</v>
      </c>
      <c r="F9" s="398"/>
      <c r="G9" s="402" t="s">
        <v>23</v>
      </c>
      <c r="H9" s="402"/>
      <c r="I9" s="402"/>
      <c r="J9" s="402"/>
      <c r="K9" s="402"/>
      <c r="L9" s="402"/>
      <c r="M9" s="402"/>
      <c r="N9" s="402"/>
      <c r="O9" s="402"/>
      <c r="P9" s="402"/>
      <c r="Q9" s="403" t="s">
        <v>3</v>
      </c>
      <c r="R9" s="390" t="s">
        <v>24</v>
      </c>
      <c r="S9" s="391" t="s">
        <v>8</v>
      </c>
      <c r="T9" s="391" t="s">
        <v>45</v>
      </c>
      <c r="U9" s="392" t="s">
        <v>47</v>
      </c>
      <c r="V9" s="392"/>
      <c r="W9" s="392"/>
    </row>
    <row r="10" spans="1:23" ht="21" customHeight="1" x14ac:dyDescent="0.25">
      <c r="A10" s="398"/>
      <c r="B10" s="399"/>
      <c r="C10" s="398"/>
      <c r="D10" s="398"/>
      <c r="E10" s="398"/>
      <c r="F10" s="398"/>
      <c r="G10" s="386" t="s">
        <v>53</v>
      </c>
      <c r="H10" s="386" t="s">
        <v>54</v>
      </c>
      <c r="I10" s="386" t="s">
        <v>97</v>
      </c>
      <c r="J10" s="386" t="s">
        <v>98</v>
      </c>
      <c r="K10" s="386" t="s">
        <v>99</v>
      </c>
      <c r="L10" s="386" t="s">
        <v>100</v>
      </c>
      <c r="M10" s="386" t="s">
        <v>101</v>
      </c>
      <c r="N10" s="386" t="s">
        <v>102</v>
      </c>
      <c r="O10" s="404" t="s">
        <v>104</v>
      </c>
      <c r="P10" s="386" t="s">
        <v>103</v>
      </c>
      <c r="Q10" s="403"/>
      <c r="R10" s="390"/>
      <c r="S10" s="391"/>
      <c r="T10" s="391"/>
      <c r="U10" s="392"/>
      <c r="V10" s="392"/>
      <c r="W10" s="392"/>
    </row>
    <row r="11" spans="1:23" ht="25.5" customHeight="1" x14ac:dyDescent="0.25">
      <c r="A11" s="398"/>
      <c r="B11" s="400"/>
      <c r="C11" s="401"/>
      <c r="D11" s="401"/>
      <c r="E11" s="401"/>
      <c r="F11" s="401"/>
      <c r="G11" s="387"/>
      <c r="H11" s="387"/>
      <c r="I11" s="387"/>
      <c r="J11" s="387"/>
      <c r="K11" s="387"/>
      <c r="L11" s="387"/>
      <c r="M11" s="387"/>
      <c r="N11" s="387"/>
      <c r="O11" s="405"/>
      <c r="P11" s="387"/>
      <c r="Q11" s="403"/>
      <c r="R11" s="390"/>
      <c r="S11" s="391"/>
      <c r="T11" s="391"/>
      <c r="U11" s="152" t="s">
        <v>48</v>
      </c>
      <c r="V11" s="152" t="s">
        <v>49</v>
      </c>
      <c r="W11" s="85" t="s">
        <v>3</v>
      </c>
    </row>
    <row r="12" spans="1:23" ht="22.9" customHeight="1" x14ac:dyDescent="0.25">
      <c r="A12" s="196">
        <v>1</v>
      </c>
      <c r="B12" s="197" t="s">
        <v>510</v>
      </c>
      <c r="C12" s="197" t="s">
        <v>511</v>
      </c>
      <c r="D12" s="197" t="s">
        <v>31</v>
      </c>
      <c r="E12" s="388" t="s">
        <v>512</v>
      </c>
      <c r="F12" s="389"/>
      <c r="G12" s="198">
        <v>0</v>
      </c>
      <c r="H12" s="231">
        <v>0</v>
      </c>
      <c r="I12" s="198">
        <v>0</v>
      </c>
      <c r="J12" s="207">
        <v>0</v>
      </c>
      <c r="K12" s="198">
        <v>0</v>
      </c>
      <c r="L12" s="199">
        <v>0</v>
      </c>
      <c r="M12" s="198">
        <v>0</v>
      </c>
      <c r="N12" s="207">
        <v>0</v>
      </c>
      <c r="O12" s="207">
        <v>0</v>
      </c>
      <c r="P12" s="207">
        <v>0</v>
      </c>
      <c r="Q12" s="201">
        <f t="shared" ref="Q12:Q16" si="0">SUM(G12:P12)-W12</f>
        <v>0</v>
      </c>
      <c r="R12" s="202">
        <f t="shared" ref="R12:R16" si="1">Q12/14.5</f>
        <v>0</v>
      </c>
      <c r="S12" s="203" t="str">
        <f>IF(R12&gt;=50*0.9,"A",IF(R12&gt;=50*0.8,"B",IF(R12&gt;=50*0.7,"C",IF(R12&gt;=50*0.6,"D",IF(R12&gt;=50*0.5,"E",IF(Q12=0,"NA","F"))))))</f>
        <v>NA</v>
      </c>
      <c r="T12" s="204">
        <f t="shared" ref="T12:T21" si="2">RANK(R12,$R$12:$R$21)</f>
        <v>9</v>
      </c>
      <c r="U12" s="198">
        <v>0</v>
      </c>
      <c r="V12" s="198">
        <v>0</v>
      </c>
      <c r="W12" s="205">
        <f t="shared" ref="W12:W16" si="3">SUM(U12:V12)</f>
        <v>0</v>
      </c>
    </row>
    <row r="13" spans="1:23" ht="23.45" customHeight="1" x14ac:dyDescent="0.25">
      <c r="A13" s="158">
        <v>2</v>
      </c>
      <c r="B13" s="114" t="s">
        <v>105</v>
      </c>
      <c r="C13" s="114" t="s">
        <v>462</v>
      </c>
      <c r="D13" s="114" t="s">
        <v>32</v>
      </c>
      <c r="E13" s="384" t="s">
        <v>513</v>
      </c>
      <c r="F13" s="385"/>
      <c r="G13" s="164">
        <v>44</v>
      </c>
      <c r="H13" s="232">
        <v>10</v>
      </c>
      <c r="I13" s="164">
        <v>15</v>
      </c>
      <c r="J13" s="208">
        <v>27</v>
      </c>
      <c r="K13" s="164">
        <v>24</v>
      </c>
      <c r="L13" s="200">
        <v>20</v>
      </c>
      <c r="M13" s="164">
        <v>75</v>
      </c>
      <c r="N13" s="208">
        <v>69</v>
      </c>
      <c r="O13" s="208">
        <v>65</v>
      </c>
      <c r="P13" s="208">
        <v>110</v>
      </c>
      <c r="Q13" s="142">
        <f t="shared" si="0"/>
        <v>459</v>
      </c>
      <c r="R13" s="131">
        <f t="shared" si="1"/>
        <v>31.655172413793103</v>
      </c>
      <c r="S13" s="132" t="str">
        <f t="shared" ref="S13:S16" si="4">IF(R13&gt;=50*0.9,"A",IF(R13&gt;=50*0.8,"B",IF(R13&gt;=50*0.7,"C",IF(R13&gt;=50*0.6,"D",IF(R13&gt;=50*0.5,"E",IF(Q13=0,"NA","F"))))))</f>
        <v>D</v>
      </c>
      <c r="T13" s="127">
        <f t="shared" si="2"/>
        <v>3</v>
      </c>
      <c r="U13" s="209">
        <v>0</v>
      </c>
      <c r="V13" s="209">
        <v>0</v>
      </c>
      <c r="W13" s="153">
        <f t="shared" si="3"/>
        <v>0</v>
      </c>
    </row>
    <row r="14" spans="1:23" ht="23.45" customHeight="1" x14ac:dyDescent="0.25">
      <c r="A14" s="158">
        <v>3</v>
      </c>
      <c r="B14" s="114" t="s">
        <v>366</v>
      </c>
      <c r="C14" s="114" t="s">
        <v>373</v>
      </c>
      <c r="D14" s="114" t="s">
        <v>32</v>
      </c>
      <c r="E14" s="384" t="s">
        <v>449</v>
      </c>
      <c r="F14" s="385"/>
      <c r="G14" s="164">
        <v>21</v>
      </c>
      <c r="H14" s="232">
        <v>2</v>
      </c>
      <c r="I14" s="164">
        <v>18</v>
      </c>
      <c r="J14" s="208">
        <v>44</v>
      </c>
      <c r="K14" s="164">
        <v>24</v>
      </c>
      <c r="L14" s="200">
        <v>20</v>
      </c>
      <c r="M14" s="164">
        <v>61</v>
      </c>
      <c r="N14" s="208">
        <v>60</v>
      </c>
      <c r="O14" s="208">
        <v>60</v>
      </c>
      <c r="P14" s="208">
        <v>115</v>
      </c>
      <c r="Q14" s="142">
        <f t="shared" si="0"/>
        <v>424</v>
      </c>
      <c r="R14" s="131">
        <f t="shared" si="1"/>
        <v>29.241379310344829</v>
      </c>
      <c r="S14" s="132" t="str">
        <f t="shared" si="4"/>
        <v>E</v>
      </c>
      <c r="T14" s="127">
        <f t="shared" si="2"/>
        <v>6</v>
      </c>
      <c r="U14" s="164">
        <v>0</v>
      </c>
      <c r="V14" s="164">
        <v>1</v>
      </c>
      <c r="W14" s="153">
        <f t="shared" si="3"/>
        <v>1</v>
      </c>
    </row>
    <row r="15" spans="1:23" ht="23.45" customHeight="1" x14ac:dyDescent="0.25">
      <c r="A15" s="158">
        <v>4</v>
      </c>
      <c r="B15" s="114" t="s">
        <v>368</v>
      </c>
      <c r="C15" s="114" t="s">
        <v>375</v>
      </c>
      <c r="D15" s="114" t="s">
        <v>31</v>
      </c>
      <c r="E15" s="384" t="s">
        <v>450</v>
      </c>
      <c r="F15" s="385"/>
      <c r="G15" s="164">
        <v>26</v>
      </c>
      <c r="H15" s="232">
        <v>2</v>
      </c>
      <c r="I15" s="164">
        <v>20</v>
      </c>
      <c r="J15" s="208">
        <v>44</v>
      </c>
      <c r="K15" s="164">
        <v>24</v>
      </c>
      <c r="L15" s="200">
        <v>20</v>
      </c>
      <c r="M15" s="164">
        <v>65</v>
      </c>
      <c r="N15" s="208">
        <v>68</v>
      </c>
      <c r="O15" s="208">
        <v>70</v>
      </c>
      <c r="P15" s="208">
        <v>115</v>
      </c>
      <c r="Q15" s="142">
        <f>SUM(G15:P15)-W15</f>
        <v>452</v>
      </c>
      <c r="R15" s="131">
        <f t="shared" ref="R15" si="5">Q15/14.5</f>
        <v>31.172413793103448</v>
      </c>
      <c r="S15" s="132" t="str">
        <f t="shared" ref="S15" si="6">IF(R15&gt;=50*0.9,"A",IF(R15&gt;=50*0.8,"B",IF(R15&gt;=50*0.7,"C",IF(R15&gt;=50*0.6,"D",IF(R15&gt;=50*0.5,"E",IF(Q15=0,"NA","F"))))))</f>
        <v>D</v>
      </c>
      <c r="T15" s="127">
        <f t="shared" si="2"/>
        <v>4</v>
      </c>
      <c r="U15" s="164">
        <v>0</v>
      </c>
      <c r="V15" s="164">
        <v>2</v>
      </c>
      <c r="W15" s="153">
        <f>SUM(U15:V15)</f>
        <v>2</v>
      </c>
    </row>
    <row r="16" spans="1:23" ht="23.45" customHeight="1" x14ac:dyDescent="0.25">
      <c r="A16" s="158">
        <v>5</v>
      </c>
      <c r="B16" s="114" t="s">
        <v>395</v>
      </c>
      <c r="C16" s="114" t="s">
        <v>509</v>
      </c>
      <c r="D16" s="114" t="s">
        <v>31</v>
      </c>
      <c r="E16" s="384" t="s">
        <v>514</v>
      </c>
      <c r="F16" s="385"/>
      <c r="G16" s="164">
        <v>46</v>
      </c>
      <c r="H16" s="232">
        <v>2</v>
      </c>
      <c r="I16" s="164">
        <v>15</v>
      </c>
      <c r="J16" s="208">
        <v>50</v>
      </c>
      <c r="K16" s="164">
        <v>20</v>
      </c>
      <c r="L16" s="200">
        <v>20</v>
      </c>
      <c r="M16" s="164">
        <v>52</v>
      </c>
      <c r="N16" s="208">
        <v>50</v>
      </c>
      <c r="O16" s="208">
        <v>65</v>
      </c>
      <c r="P16" s="208">
        <v>60</v>
      </c>
      <c r="Q16" s="142">
        <f t="shared" si="0"/>
        <v>379</v>
      </c>
      <c r="R16" s="131">
        <f t="shared" si="1"/>
        <v>26.137931034482758</v>
      </c>
      <c r="S16" s="132" t="str">
        <f t="shared" si="4"/>
        <v>E</v>
      </c>
      <c r="T16" s="127">
        <f t="shared" si="2"/>
        <v>8</v>
      </c>
      <c r="U16" s="164">
        <v>1</v>
      </c>
      <c r="V16" s="164">
        <v>0</v>
      </c>
      <c r="W16" s="153">
        <f t="shared" si="3"/>
        <v>1</v>
      </c>
    </row>
    <row r="17" spans="1:23" ht="23.45" customHeight="1" x14ac:dyDescent="0.25">
      <c r="A17" s="158">
        <v>6</v>
      </c>
      <c r="B17" s="114" t="s">
        <v>369</v>
      </c>
      <c r="C17" s="114" t="s">
        <v>269</v>
      </c>
      <c r="D17" s="114" t="s">
        <v>32</v>
      </c>
      <c r="E17" s="384" t="s">
        <v>451</v>
      </c>
      <c r="F17" s="385"/>
      <c r="G17" s="164">
        <v>49</v>
      </c>
      <c r="H17" s="232">
        <v>2</v>
      </c>
      <c r="I17" s="164">
        <v>24</v>
      </c>
      <c r="J17" s="208">
        <v>20</v>
      </c>
      <c r="K17" s="164">
        <v>24</v>
      </c>
      <c r="L17" s="200">
        <v>20</v>
      </c>
      <c r="M17" s="164">
        <v>85</v>
      </c>
      <c r="N17" s="208">
        <v>82</v>
      </c>
      <c r="O17" s="208">
        <v>75</v>
      </c>
      <c r="P17" s="208">
        <v>88</v>
      </c>
      <c r="Q17" s="142">
        <f t="shared" ref="Q17:Q21" si="7">SUM(G17:P17)-W17</f>
        <v>469</v>
      </c>
      <c r="R17" s="131">
        <f t="shared" ref="R17:R21" si="8">Q17/14.5</f>
        <v>32.344827586206897</v>
      </c>
      <c r="S17" s="132" t="str">
        <f t="shared" ref="S17:S21" si="9">IF(R17&gt;=50*0.9,"A",IF(R17&gt;=50*0.8,"B",IF(R17&gt;=50*0.7,"C",IF(R17&gt;=50*0.6,"D",IF(R17&gt;=50*0.5,"E",IF(Q17=0,"NA","F"))))))</f>
        <v>D</v>
      </c>
      <c r="T17" s="127">
        <f t="shared" si="2"/>
        <v>2</v>
      </c>
      <c r="U17" s="164">
        <v>0</v>
      </c>
      <c r="V17" s="164">
        <v>0</v>
      </c>
      <c r="W17" s="153">
        <f t="shared" ref="W17:W21" si="10">SUM(U17:V17)</f>
        <v>0</v>
      </c>
    </row>
    <row r="18" spans="1:23" ht="23.45" customHeight="1" x14ac:dyDescent="0.25">
      <c r="A18" s="158">
        <v>7</v>
      </c>
      <c r="B18" s="114" t="s">
        <v>370</v>
      </c>
      <c r="C18" s="114" t="s">
        <v>376</v>
      </c>
      <c r="D18" s="114" t="s">
        <v>32</v>
      </c>
      <c r="E18" s="384" t="s">
        <v>452</v>
      </c>
      <c r="F18" s="385"/>
      <c r="G18" s="164">
        <v>43</v>
      </c>
      <c r="H18" s="232">
        <v>18</v>
      </c>
      <c r="I18" s="164">
        <v>36</v>
      </c>
      <c r="J18" s="208">
        <v>29</v>
      </c>
      <c r="K18" s="164">
        <v>23</v>
      </c>
      <c r="L18" s="200">
        <v>20</v>
      </c>
      <c r="M18" s="164">
        <v>71</v>
      </c>
      <c r="N18" s="208">
        <v>63</v>
      </c>
      <c r="O18" s="208">
        <v>68</v>
      </c>
      <c r="P18" s="208">
        <v>110</v>
      </c>
      <c r="Q18" s="142">
        <f t="shared" si="7"/>
        <v>480</v>
      </c>
      <c r="R18" s="131">
        <f t="shared" si="8"/>
        <v>33.103448275862071</v>
      </c>
      <c r="S18" s="132" t="str">
        <f t="shared" si="9"/>
        <v>D</v>
      </c>
      <c r="T18" s="127">
        <f t="shared" si="2"/>
        <v>1</v>
      </c>
      <c r="U18" s="164">
        <v>1</v>
      </c>
      <c r="V18" s="164">
        <v>0</v>
      </c>
      <c r="W18" s="153">
        <f t="shared" si="10"/>
        <v>1</v>
      </c>
    </row>
    <row r="19" spans="1:23" ht="23.45" customHeight="1" x14ac:dyDescent="0.25">
      <c r="A19" s="196">
        <v>8</v>
      </c>
      <c r="B19" s="197" t="s">
        <v>371</v>
      </c>
      <c r="C19" s="197" t="s">
        <v>122</v>
      </c>
      <c r="D19" s="197" t="s">
        <v>31</v>
      </c>
      <c r="E19" s="388" t="s">
        <v>453</v>
      </c>
      <c r="F19" s="389"/>
      <c r="G19" s="198">
        <v>0</v>
      </c>
      <c r="H19" s="231">
        <v>0</v>
      </c>
      <c r="I19" s="198">
        <v>0</v>
      </c>
      <c r="J19" s="207">
        <v>0</v>
      </c>
      <c r="K19" s="198">
        <v>0</v>
      </c>
      <c r="L19" s="199">
        <v>0</v>
      </c>
      <c r="M19" s="198">
        <v>0</v>
      </c>
      <c r="N19" s="207">
        <v>0</v>
      </c>
      <c r="O19" s="207">
        <v>0</v>
      </c>
      <c r="P19" s="207">
        <v>0</v>
      </c>
      <c r="Q19" s="201">
        <f t="shared" ref="Q19" si="11">SUM(G19:P19)-W19</f>
        <v>0</v>
      </c>
      <c r="R19" s="202">
        <f t="shared" ref="R19" si="12">Q19/14.5</f>
        <v>0</v>
      </c>
      <c r="S19" s="203" t="str">
        <f t="shared" ref="S19" si="13">IF(R19&gt;=50*0.9,"A",IF(R19&gt;=50*0.8,"B",IF(R19&gt;=50*0.7,"C",IF(R19&gt;=50*0.6,"D",IF(R19&gt;=50*0.5,"E",IF(Q19=0,"NA","F"))))))</f>
        <v>NA</v>
      </c>
      <c r="T19" s="204">
        <f t="shared" si="2"/>
        <v>9</v>
      </c>
      <c r="U19" s="198">
        <v>0</v>
      </c>
      <c r="V19" s="198">
        <v>0</v>
      </c>
      <c r="W19" s="206">
        <f t="shared" ref="W19" si="14">SUM(U19:V19)</f>
        <v>0</v>
      </c>
    </row>
    <row r="20" spans="1:23" ht="23.45" customHeight="1" x14ac:dyDescent="0.25">
      <c r="A20" s="158">
        <v>9</v>
      </c>
      <c r="B20" s="114" t="s">
        <v>223</v>
      </c>
      <c r="C20" s="114" t="s">
        <v>377</v>
      </c>
      <c r="D20" s="114" t="s">
        <v>32</v>
      </c>
      <c r="E20" s="384" t="s">
        <v>454</v>
      </c>
      <c r="F20" s="385"/>
      <c r="G20" s="164">
        <v>51</v>
      </c>
      <c r="H20" s="232">
        <v>6</v>
      </c>
      <c r="I20" s="164">
        <v>15</v>
      </c>
      <c r="J20" s="208">
        <v>25</v>
      </c>
      <c r="K20" s="164">
        <v>25</v>
      </c>
      <c r="L20" s="200">
        <v>20</v>
      </c>
      <c r="M20" s="164">
        <v>62</v>
      </c>
      <c r="N20" s="208">
        <v>54</v>
      </c>
      <c r="O20" s="208">
        <v>68</v>
      </c>
      <c r="P20" s="208">
        <v>60</v>
      </c>
      <c r="Q20" s="142">
        <f t="shared" si="7"/>
        <v>384</v>
      </c>
      <c r="R20" s="131">
        <f t="shared" si="8"/>
        <v>26.482758620689655</v>
      </c>
      <c r="S20" s="132" t="str">
        <f t="shared" si="9"/>
        <v>E</v>
      </c>
      <c r="T20" s="127">
        <f t="shared" si="2"/>
        <v>7</v>
      </c>
      <c r="U20" s="164">
        <v>0</v>
      </c>
      <c r="V20" s="164">
        <v>2</v>
      </c>
      <c r="W20" s="153">
        <f t="shared" si="10"/>
        <v>2</v>
      </c>
    </row>
    <row r="21" spans="1:23" ht="23.45" customHeight="1" x14ac:dyDescent="0.25">
      <c r="A21" s="158">
        <v>10</v>
      </c>
      <c r="B21" s="114" t="s">
        <v>372</v>
      </c>
      <c r="C21" s="114" t="s">
        <v>378</v>
      </c>
      <c r="D21" s="114" t="s">
        <v>32</v>
      </c>
      <c r="E21" s="384" t="s">
        <v>455</v>
      </c>
      <c r="F21" s="385"/>
      <c r="G21" s="164">
        <v>38</v>
      </c>
      <c r="H21" s="232">
        <v>2</v>
      </c>
      <c r="I21" s="164">
        <v>38</v>
      </c>
      <c r="J21" s="208">
        <v>27</v>
      </c>
      <c r="K21" s="164">
        <v>25</v>
      </c>
      <c r="L21" s="200">
        <v>20</v>
      </c>
      <c r="M21" s="164">
        <v>84</v>
      </c>
      <c r="N21" s="208">
        <v>81</v>
      </c>
      <c r="O21" s="208">
        <v>65</v>
      </c>
      <c r="P21" s="208">
        <v>60</v>
      </c>
      <c r="Q21" s="142">
        <f t="shared" si="7"/>
        <v>438</v>
      </c>
      <c r="R21" s="131">
        <f t="shared" si="8"/>
        <v>30.206896551724139</v>
      </c>
      <c r="S21" s="132" t="str">
        <f t="shared" si="9"/>
        <v>D</v>
      </c>
      <c r="T21" s="127">
        <f t="shared" si="2"/>
        <v>5</v>
      </c>
      <c r="U21" s="164">
        <v>1</v>
      </c>
      <c r="V21" s="164">
        <v>1</v>
      </c>
      <c r="W21" s="153">
        <f t="shared" si="10"/>
        <v>2</v>
      </c>
    </row>
    <row r="22" spans="1:23" ht="23.25" hidden="1" customHeight="1" x14ac:dyDescent="0.25">
      <c r="B22" s="159"/>
      <c r="C22" s="159"/>
      <c r="D22" s="159"/>
      <c r="E22" s="373" t="s">
        <v>341</v>
      </c>
      <c r="F22" s="373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U22" s="184">
        <v>0</v>
      </c>
      <c r="V22" s="184">
        <v>0</v>
      </c>
      <c r="W22" s="143">
        <v>0</v>
      </c>
    </row>
    <row r="23" spans="1:23" ht="23.25" hidden="1" customHeight="1" x14ac:dyDescent="0.25">
      <c r="B23" s="105"/>
      <c r="C23" s="105"/>
      <c r="D23" s="105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U23" s="164">
        <v>0</v>
      </c>
      <c r="V23" s="164">
        <v>0</v>
      </c>
    </row>
    <row r="24" spans="1:23" ht="23.25" hidden="1" customHeight="1" x14ac:dyDescent="0.25">
      <c r="B24" s="105"/>
      <c r="C24" s="105"/>
      <c r="D24" s="105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U24" s="164">
        <v>0</v>
      </c>
      <c r="V24" s="164">
        <v>0</v>
      </c>
    </row>
    <row r="25" spans="1:23" ht="23.25" hidden="1" customHeight="1" x14ac:dyDescent="0.25">
      <c r="B25" s="105"/>
      <c r="C25" s="105"/>
      <c r="D25" s="105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U25" s="164">
        <v>0</v>
      </c>
      <c r="V25" s="164">
        <v>0</v>
      </c>
    </row>
    <row r="26" spans="1:23" ht="23.25" hidden="1" customHeight="1" x14ac:dyDescent="0.25">
      <c r="B26" s="105"/>
      <c r="C26" s="105"/>
      <c r="D26" s="105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U26" s="164">
        <v>0</v>
      </c>
      <c r="V26" s="164">
        <v>0</v>
      </c>
    </row>
    <row r="27" spans="1:23" ht="3.75" hidden="1" customHeight="1" x14ac:dyDescent="0.25">
      <c r="B27" s="105"/>
      <c r="C27" s="105"/>
      <c r="D27" s="105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U27" s="164">
        <v>0</v>
      </c>
      <c r="V27" s="164">
        <v>0</v>
      </c>
    </row>
    <row r="28" spans="1:23" ht="23.25" hidden="1" customHeight="1" x14ac:dyDescent="0.25">
      <c r="B28" s="105"/>
      <c r="C28" s="105"/>
      <c r="D28" s="105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U28" s="164">
        <v>0</v>
      </c>
      <c r="V28" s="164">
        <v>0</v>
      </c>
    </row>
    <row r="29" spans="1:23" ht="27" customHeight="1" x14ac:dyDescent="0.25">
      <c r="A29" s="374" t="str">
        <f>"បញ្ឈប់បញ្ជីត្រឹមឈ្មោះ ហង់ ស្រីមួយ  "&amp;"      ចំនួនសរុប  "&amp;COUNT(A12:A21)&amp;"  នាក់"&amp;"      ក្នុងនោះស្រី  "&amp;COUNTIF(D12:D21,"ស")&amp;"  នាក់ ។"</f>
        <v>បញ្ឈប់បញ្ជីត្រឹមឈ្មោះ ហង់ ស្រីមួយ        ចំនួនសរុប  10  នាក់      ក្នុងនោះស្រី  6  នាក់ ។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9"/>
      <c r="P29" s="9"/>
      <c r="Q29" s="10"/>
      <c r="R29" s="9"/>
      <c r="S29" s="9"/>
    </row>
    <row r="30" spans="1:23" ht="37.9" customHeight="1" x14ac:dyDescent="0.25">
      <c r="B30" s="93" t="s">
        <v>34</v>
      </c>
      <c r="C30" s="93"/>
    </row>
    <row r="31" spans="1:23" ht="21" x14ac:dyDescent="0.6">
      <c r="B31" s="375" t="s">
        <v>51</v>
      </c>
      <c r="C31" s="376"/>
      <c r="D31" s="48" t="s">
        <v>8</v>
      </c>
      <c r="E31" s="377" t="s">
        <v>39</v>
      </c>
      <c r="F31" s="378"/>
    </row>
    <row r="32" spans="1:23" ht="23.25" x14ac:dyDescent="0.65">
      <c r="B32" s="380" t="s">
        <v>79</v>
      </c>
      <c r="C32" s="381"/>
      <c r="D32" s="42" t="s">
        <v>26</v>
      </c>
      <c r="E32" s="382" t="s">
        <v>52</v>
      </c>
      <c r="F32" s="383"/>
      <c r="Q32" s="23"/>
    </row>
    <row r="33" spans="1:23" ht="21.95" customHeight="1" x14ac:dyDescent="0.25">
      <c r="B33" s="365" t="s">
        <v>80</v>
      </c>
      <c r="C33" s="366"/>
      <c r="D33" s="43" t="s">
        <v>27</v>
      </c>
      <c r="E33" s="367" t="s">
        <v>35</v>
      </c>
      <c r="F33" s="368"/>
    </row>
    <row r="34" spans="1:23" ht="21.95" customHeight="1" x14ac:dyDescent="0.25">
      <c r="B34" s="369" t="s">
        <v>81</v>
      </c>
      <c r="C34" s="370"/>
      <c r="D34" s="44" t="s">
        <v>28</v>
      </c>
      <c r="E34" s="371" t="s">
        <v>36</v>
      </c>
      <c r="F34" s="372"/>
      <c r="I34" s="38"/>
      <c r="J34" s="39"/>
      <c r="K34" s="38"/>
      <c r="L34" s="39"/>
      <c r="M34" s="38"/>
      <c r="N34" s="379"/>
      <c r="O34" s="379"/>
      <c r="P34" s="379"/>
    </row>
    <row r="35" spans="1:23" ht="24.95" customHeight="1" x14ac:dyDescent="0.25">
      <c r="A35" s="41"/>
      <c r="B35" s="329" t="s">
        <v>82</v>
      </c>
      <c r="C35" s="330"/>
      <c r="D35" s="45" t="s">
        <v>29</v>
      </c>
      <c r="E35" s="331" t="s">
        <v>42</v>
      </c>
      <c r="F35" s="332"/>
      <c r="I35" s="25"/>
      <c r="J35" s="26"/>
      <c r="K35" s="26"/>
      <c r="L35" s="26"/>
      <c r="M35" s="26"/>
      <c r="N35" s="8"/>
      <c r="O35" s="8"/>
      <c r="P35" s="8"/>
    </row>
    <row r="36" spans="1:23" ht="24.95" customHeight="1" x14ac:dyDescent="0.8">
      <c r="A36" s="31"/>
      <c r="B36" s="333" t="s">
        <v>83</v>
      </c>
      <c r="C36" s="334"/>
      <c r="D36" s="46" t="s">
        <v>41</v>
      </c>
      <c r="E36" s="335" t="s">
        <v>37</v>
      </c>
      <c r="F36" s="336"/>
      <c r="I36" s="26"/>
      <c r="J36" s="26"/>
      <c r="K36" s="26"/>
      <c r="L36" s="13"/>
      <c r="M36" s="13"/>
      <c r="N36" s="13"/>
      <c r="O36" s="13"/>
      <c r="P36" s="13"/>
    </row>
    <row r="37" spans="1:23" ht="24.95" customHeight="1" x14ac:dyDescent="0.8">
      <c r="A37" s="31"/>
      <c r="B37" s="337" t="s">
        <v>84</v>
      </c>
      <c r="C37" s="338"/>
      <c r="D37" s="47" t="s">
        <v>30</v>
      </c>
      <c r="E37" s="339" t="s">
        <v>38</v>
      </c>
      <c r="F37" s="339"/>
      <c r="G37" s="71"/>
      <c r="H37" s="71"/>
      <c r="I37" s="26"/>
      <c r="J37" s="26"/>
      <c r="K37" s="26"/>
      <c r="L37" s="13"/>
      <c r="M37" s="13"/>
      <c r="N37" s="13"/>
      <c r="O37" s="13"/>
      <c r="P37" s="13"/>
    </row>
    <row r="38" spans="1:23" ht="32.25" customHeight="1" x14ac:dyDescent="0.8">
      <c r="A38" s="31"/>
      <c r="B38" s="345" t="s">
        <v>92</v>
      </c>
      <c r="C38" s="345"/>
      <c r="D38" s="345"/>
      <c r="E38" s="345"/>
      <c r="F38" s="345"/>
      <c r="G38" s="346"/>
      <c r="H38" s="346"/>
      <c r="I38" s="346"/>
      <c r="J38" s="26"/>
      <c r="K38" s="26"/>
      <c r="L38" s="13"/>
      <c r="M38" s="13"/>
      <c r="N38" s="13"/>
      <c r="O38" s="13"/>
      <c r="P38" s="13"/>
    </row>
    <row r="39" spans="1:23" ht="23.25" x14ac:dyDescent="0.65">
      <c r="A39" s="252" t="s">
        <v>33</v>
      </c>
      <c r="B39" s="252"/>
      <c r="C39" s="252"/>
      <c r="D39" s="252"/>
      <c r="E39" s="347"/>
      <c r="F39" s="69" t="s">
        <v>3</v>
      </c>
      <c r="G39" s="70" t="s">
        <v>4</v>
      </c>
      <c r="I39" s="26"/>
      <c r="J39" s="26"/>
      <c r="K39" s="26"/>
      <c r="L39" s="13"/>
      <c r="M39" s="13"/>
      <c r="N39" s="9"/>
    </row>
    <row r="40" spans="1:23" ht="25.5" customHeight="1" x14ac:dyDescent="0.6">
      <c r="B40" s="352" t="s">
        <v>55</v>
      </c>
      <c r="C40" s="353"/>
      <c r="D40" s="356" t="s">
        <v>67</v>
      </c>
      <c r="E40" s="357"/>
      <c r="F40" s="67">
        <f>D43+F43</f>
        <v>8</v>
      </c>
      <c r="G40" s="68">
        <f>E43+G43</f>
        <v>6</v>
      </c>
      <c r="H40" s="358" t="s">
        <v>8</v>
      </c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60"/>
      <c r="T40" s="80" t="s">
        <v>85</v>
      </c>
      <c r="U40" s="80"/>
    </row>
    <row r="41" spans="1:23" ht="39.75" customHeight="1" x14ac:dyDescent="0.25">
      <c r="A41" s="8"/>
      <c r="B41" s="354"/>
      <c r="C41" s="355"/>
      <c r="D41" s="361" t="s">
        <v>77</v>
      </c>
      <c r="E41" s="362"/>
      <c r="F41" s="363" t="s">
        <v>86</v>
      </c>
      <c r="G41" s="364"/>
      <c r="H41" s="341" t="s">
        <v>26</v>
      </c>
      <c r="I41" s="342"/>
      <c r="J41" s="341" t="s">
        <v>27</v>
      </c>
      <c r="K41" s="342"/>
      <c r="L41" s="341" t="s">
        <v>28</v>
      </c>
      <c r="M41" s="342"/>
      <c r="N41" s="341" t="s">
        <v>29</v>
      </c>
      <c r="O41" s="342"/>
      <c r="P41" s="343" t="s">
        <v>41</v>
      </c>
      <c r="Q41" s="344"/>
      <c r="R41" s="348" t="s">
        <v>88</v>
      </c>
      <c r="S41" s="349"/>
      <c r="T41" s="80"/>
      <c r="U41" s="80"/>
    </row>
    <row r="42" spans="1:23" ht="23.25" x14ac:dyDescent="0.6">
      <c r="A42" s="8"/>
      <c r="B42" s="4" t="s">
        <v>3</v>
      </c>
      <c r="C42" s="33" t="s">
        <v>4</v>
      </c>
      <c r="D42" s="4" t="s">
        <v>3</v>
      </c>
      <c r="E42" s="33" t="s">
        <v>4</v>
      </c>
      <c r="F42" s="4" t="s">
        <v>3</v>
      </c>
      <c r="G42" s="33" t="s">
        <v>4</v>
      </c>
      <c r="H42" s="4" t="s">
        <v>3</v>
      </c>
      <c r="I42" s="52" t="s">
        <v>4</v>
      </c>
      <c r="J42" s="40" t="s">
        <v>3</v>
      </c>
      <c r="K42" s="33" t="s">
        <v>4</v>
      </c>
      <c r="L42" s="4" t="s">
        <v>3</v>
      </c>
      <c r="M42" s="33" t="s">
        <v>4</v>
      </c>
      <c r="N42" s="4" t="s">
        <v>3</v>
      </c>
      <c r="O42" s="33" t="s">
        <v>4</v>
      </c>
      <c r="P42" s="4" t="s">
        <v>3</v>
      </c>
      <c r="Q42" s="33" t="s">
        <v>4</v>
      </c>
      <c r="R42" s="63" t="s">
        <v>3</v>
      </c>
      <c r="S42" s="64" t="s">
        <v>4</v>
      </c>
      <c r="T42" s="33"/>
      <c r="U42" s="4"/>
    </row>
    <row r="43" spans="1:23" ht="23.25" customHeight="1" x14ac:dyDescent="0.25">
      <c r="A43" s="107"/>
      <c r="B43" s="55">
        <f>COUNT(A12:A21)</f>
        <v>10</v>
      </c>
      <c r="C43" s="56">
        <f>COUNTIF(D12:D21,"ស")</f>
        <v>6</v>
      </c>
      <c r="D43" s="55">
        <f>SUM(H43,J43,L43,N43,P43)</f>
        <v>8</v>
      </c>
      <c r="E43" s="56">
        <f>SUM(I43,K43,M43,O43,Q43)</f>
        <v>6</v>
      </c>
      <c r="F43" s="32">
        <f>COUNTIF(S12:S21,"F")</f>
        <v>0</v>
      </c>
      <c r="G43" s="34">
        <f>COUNTIFS(S12:S21,"F",D12:D21,"ស")</f>
        <v>0</v>
      </c>
      <c r="H43" s="35">
        <f>COUNTIF(S12:S21,"A")</f>
        <v>0</v>
      </c>
      <c r="I43" s="34">
        <f>COUNTIFS(S12:S21,"A",D12:D21,"ស")</f>
        <v>0</v>
      </c>
      <c r="J43" s="35">
        <f>COUNTIF(S12:S21,"B")</f>
        <v>0</v>
      </c>
      <c r="K43" s="34">
        <f>COUNTIFS(S12:S21,"B",D12:D21,"ស")</f>
        <v>0</v>
      </c>
      <c r="L43" s="35">
        <f>COUNTIF(S12:S21,"C")</f>
        <v>0</v>
      </c>
      <c r="M43" s="34">
        <f>COUNTIFS(S12:S21,"C",D12:D21,"ស")</f>
        <v>0</v>
      </c>
      <c r="N43" s="35">
        <f>COUNTIF(S12:S21,"D")</f>
        <v>5</v>
      </c>
      <c r="O43" s="34">
        <f>COUNTIFS(S12:S21,"D",D12:D21,"ស")</f>
        <v>4</v>
      </c>
      <c r="P43" s="35">
        <f>COUNTIF(S12:S21,"E")</f>
        <v>3</v>
      </c>
      <c r="Q43" s="34">
        <f>COUNTIFS(S12:S21,"E",D12:D21,"ស")</f>
        <v>2</v>
      </c>
      <c r="R43" s="65">
        <f>COUNTIF(S12:S21,"NA")</f>
        <v>2</v>
      </c>
      <c r="S43" s="66">
        <f>COUNTIFS(S12:S21,"NA",D12:D21,"ស")</f>
        <v>0</v>
      </c>
      <c r="T43" s="34"/>
      <c r="U43" s="55"/>
    </row>
    <row r="44" spans="1:23" ht="1.5" customHeight="1" x14ac:dyDescent="0.25">
      <c r="A44" s="8"/>
    </row>
    <row r="45" spans="1:23" ht="23.25" x14ac:dyDescent="0.35">
      <c r="B45" s="95"/>
      <c r="D45" s="54"/>
      <c r="O45" s="350" t="str">
        <f>ស្ថិតិលទ្ធផលសិក្សាតាមនិទ្ទេស!N68</f>
        <v>ថ្ងៃអង្គារ  ១៣កើត ខែចេត្រ ឆ្នាំម្សាញ់ សប្តស័ក ព.ស ២៥៦៩</v>
      </c>
      <c r="P45" s="350"/>
      <c r="Q45" s="350"/>
      <c r="R45" s="350"/>
      <c r="S45" s="350"/>
      <c r="T45" s="350"/>
      <c r="U45" s="350"/>
      <c r="V45" s="350"/>
      <c r="W45" s="350"/>
    </row>
    <row r="46" spans="1:23" ht="22.5" customHeight="1" x14ac:dyDescent="0.25">
      <c r="A46" s="30"/>
      <c r="B46" s="96"/>
      <c r="C46" s="96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9"/>
      <c r="O46" s="351" t="str">
        <f>ស្ថិតិលទ្ធផលសិក្សាតាមនិទ្ទេស!$N$69</f>
        <v>ធ្វើនៅដុនបូស្កូប៉ោយប៉ែត ថ្ងៃទី៣១ខែ មីនាឆ្នាំ ២០២៦</v>
      </c>
      <c r="P46" s="351"/>
      <c r="Q46" s="351"/>
      <c r="R46" s="351"/>
      <c r="S46" s="351"/>
      <c r="T46" s="351"/>
      <c r="U46" s="351"/>
      <c r="V46" s="351"/>
      <c r="W46" s="351"/>
    </row>
    <row r="47" spans="1:23" ht="24.95" customHeight="1" x14ac:dyDescent="0.65">
      <c r="A47" s="340" t="s">
        <v>22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11"/>
      <c r="O47" s="13"/>
      <c r="P47" s="13"/>
      <c r="Q47" s="321" t="s">
        <v>16</v>
      </c>
      <c r="R47" s="321"/>
      <c r="S47" s="321"/>
      <c r="T47" s="321"/>
      <c r="U47" s="321"/>
      <c r="V47" s="321"/>
      <c r="W47" s="321"/>
    </row>
    <row r="48" spans="1:23" ht="24.75" customHeight="1" x14ac:dyDescent="0.25">
      <c r="A48" s="340" t="str">
        <f>ស្ថិតិលទ្ធផលសិក្សាតាមនិទ្ទេស!A73</f>
        <v>នាយកសាលា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13"/>
      <c r="O48" s="13"/>
      <c r="P48" s="13"/>
      <c r="Q48" s="18"/>
      <c r="R48" s="19"/>
      <c r="S48" s="16"/>
    </row>
    <row r="49" spans="1:19" ht="21" customHeight="1" x14ac:dyDescent="0.25">
      <c r="N49" s="16"/>
      <c r="O49" s="16"/>
      <c r="P49" s="16"/>
      <c r="Q49" s="21"/>
      <c r="R49" s="16"/>
      <c r="S49" s="16"/>
    </row>
    <row r="50" spans="1:19" ht="21" x14ac:dyDescent="0.25">
      <c r="A50" s="14"/>
      <c r="B50" s="97"/>
      <c r="C50" s="97"/>
      <c r="D50" s="22"/>
      <c r="E50" s="22"/>
      <c r="F50" s="22"/>
      <c r="G50" s="22"/>
      <c r="I50" s="22"/>
      <c r="J50" s="17"/>
      <c r="K50" s="15"/>
      <c r="L50" s="15"/>
      <c r="M50" s="20"/>
      <c r="N50" s="16"/>
      <c r="O50" s="16"/>
      <c r="P50" s="16"/>
      <c r="Q50" s="21"/>
      <c r="R50" s="16"/>
      <c r="S50" s="16"/>
    </row>
  </sheetData>
  <mergeCells count="75">
    <mergeCell ref="A6:K6"/>
    <mergeCell ref="A7:W7"/>
    <mergeCell ref="A8:W8"/>
    <mergeCell ref="A9:A11"/>
    <mergeCell ref="B9:B11"/>
    <mergeCell ref="C9:C11"/>
    <mergeCell ref="D9:D11"/>
    <mergeCell ref="E9:F11"/>
    <mergeCell ref="T9:T11"/>
    <mergeCell ref="G9:P9"/>
    <mergeCell ref="Q9:Q11"/>
    <mergeCell ref="P10:P11"/>
    <mergeCell ref="O10:O11"/>
    <mergeCell ref="I10:I11"/>
    <mergeCell ref="J10:J11"/>
    <mergeCell ref="K10:K11"/>
    <mergeCell ref="A5:K5"/>
    <mergeCell ref="A1:W1"/>
    <mergeCell ref="A2:W2"/>
    <mergeCell ref="A3:W3"/>
    <mergeCell ref="A4:K4"/>
    <mergeCell ref="U4:W4"/>
    <mergeCell ref="R9:R11"/>
    <mergeCell ref="S9:S11"/>
    <mergeCell ref="U9:W10"/>
    <mergeCell ref="G10:G11"/>
    <mergeCell ref="H10:H11"/>
    <mergeCell ref="E21:F21"/>
    <mergeCell ref="E14:F14"/>
    <mergeCell ref="E16:F16"/>
    <mergeCell ref="M10:M11"/>
    <mergeCell ref="N10:N11"/>
    <mergeCell ref="E17:F17"/>
    <mergeCell ref="E18:F18"/>
    <mergeCell ref="E15:F15"/>
    <mergeCell ref="E20:F20"/>
    <mergeCell ref="E12:F12"/>
    <mergeCell ref="E13:F13"/>
    <mergeCell ref="L10:L11"/>
    <mergeCell ref="E19:F19"/>
    <mergeCell ref="B33:C33"/>
    <mergeCell ref="E33:F33"/>
    <mergeCell ref="B34:C34"/>
    <mergeCell ref="E34:F34"/>
    <mergeCell ref="E22:F22"/>
    <mergeCell ref="A29:N29"/>
    <mergeCell ref="B31:C31"/>
    <mergeCell ref="E31:F31"/>
    <mergeCell ref="N34:P34"/>
    <mergeCell ref="B32:C32"/>
    <mergeCell ref="E32:F32"/>
    <mergeCell ref="R41:S41"/>
    <mergeCell ref="O45:W45"/>
    <mergeCell ref="O46:W46"/>
    <mergeCell ref="A47:M47"/>
    <mergeCell ref="Q47:W47"/>
    <mergeCell ref="B40:C41"/>
    <mergeCell ref="D40:E40"/>
    <mergeCell ref="H40:S40"/>
    <mergeCell ref="D41:E41"/>
    <mergeCell ref="F41:G41"/>
    <mergeCell ref="H41:I41"/>
    <mergeCell ref="J41:K41"/>
    <mergeCell ref="L41:M41"/>
    <mergeCell ref="A48:M48"/>
    <mergeCell ref="N41:O41"/>
    <mergeCell ref="P41:Q41"/>
    <mergeCell ref="B38:I38"/>
    <mergeCell ref="A39:E39"/>
    <mergeCell ref="B35:C35"/>
    <mergeCell ref="E35:F35"/>
    <mergeCell ref="B36:C36"/>
    <mergeCell ref="E36:F36"/>
    <mergeCell ref="B37:C37"/>
    <mergeCell ref="E37:F37"/>
  </mergeCells>
  <pageMargins left="0.12" right="0.12" top="0.12" bottom="0.12" header="0.12" footer="0.1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view="pageBreakPreview" topLeftCell="A31" zoomScale="110" zoomScaleNormal="85" zoomScaleSheetLayoutView="110" zoomScalePageLayoutView="112" workbookViewId="0">
      <selection activeCell="B47" sqref="B47"/>
    </sheetView>
  </sheetViews>
  <sheetFormatPr defaultRowHeight="15" x14ac:dyDescent="0.25"/>
  <cols>
    <col min="1" max="1" width="5" customWidth="1"/>
    <col min="2" max="2" width="6.85546875" customWidth="1"/>
    <col min="3" max="3" width="11.42578125" customWidth="1"/>
    <col min="4" max="4" width="5.140625" customWidth="1"/>
    <col min="5" max="5" width="11.85546875" customWidth="1"/>
    <col min="6" max="6" width="5.5703125" customWidth="1"/>
    <col min="7" max="7" width="4.7109375" customWidth="1"/>
    <col min="8" max="16" width="5.7109375" customWidth="1"/>
    <col min="17" max="17" width="6.140625" customWidth="1"/>
    <col min="18" max="18" width="6.5703125" customWidth="1"/>
    <col min="19" max="20" width="6.140625" customWidth="1"/>
    <col min="21" max="23" width="6.5703125" customWidth="1"/>
  </cols>
  <sheetData>
    <row r="1" spans="1:23" ht="25.5" x14ac:dyDescent="0.25">
      <c r="A1" s="393" t="s">
        <v>13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</row>
    <row r="2" spans="1:23" ht="28.5" x14ac:dyDescent="0.25">
      <c r="A2" s="394" t="s">
        <v>19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</row>
    <row r="3" spans="1:23" ht="25.9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</row>
    <row r="4" spans="1:23" ht="23.25" x14ac:dyDescent="0.65">
      <c r="A4" s="244" t="s">
        <v>15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7"/>
      <c r="M4" s="7"/>
      <c r="N4" s="7"/>
      <c r="O4" s="7"/>
      <c r="P4" s="7"/>
      <c r="Q4" s="6"/>
      <c r="R4" s="5"/>
      <c r="S4" s="5"/>
      <c r="U4" s="395" t="s">
        <v>64</v>
      </c>
      <c r="V4" s="395"/>
      <c r="W4" s="395"/>
    </row>
    <row r="5" spans="1:23" ht="23.25" x14ac:dyDescent="0.65">
      <c r="A5" s="244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7"/>
      <c r="M5" s="7"/>
      <c r="N5" s="7"/>
      <c r="O5" s="7"/>
      <c r="P5" s="7"/>
      <c r="Q5" s="6"/>
      <c r="R5" s="5"/>
      <c r="S5" s="5"/>
    </row>
    <row r="6" spans="1:23" ht="23.25" x14ac:dyDescent="0.65">
      <c r="A6" s="244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7"/>
      <c r="M6" s="7"/>
      <c r="N6" s="7"/>
      <c r="O6" s="7"/>
      <c r="P6" s="7"/>
      <c r="Q6" s="6"/>
      <c r="R6" s="5"/>
      <c r="S6" s="5"/>
    </row>
    <row r="7" spans="1:23" ht="23.25" x14ac:dyDescent="0.25">
      <c r="A7" s="396" t="s">
        <v>516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</row>
    <row r="8" spans="1:23" ht="21" x14ac:dyDescent="0.25">
      <c r="A8" s="397" t="str">
        <f>មេកានិច១!A8</f>
        <v>ឆ្នាំសិក្សា ២០២៥- ២០២៦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</row>
    <row r="9" spans="1:23" ht="22.15" customHeight="1" x14ac:dyDescent="0.25">
      <c r="A9" s="398" t="s">
        <v>0</v>
      </c>
      <c r="B9" s="399" t="s">
        <v>25</v>
      </c>
      <c r="C9" s="398" t="s">
        <v>20</v>
      </c>
      <c r="D9" s="398" t="s">
        <v>21</v>
      </c>
      <c r="E9" s="398" t="s">
        <v>50</v>
      </c>
      <c r="F9" s="398"/>
      <c r="G9" s="402"/>
      <c r="H9" s="402"/>
      <c r="I9" s="402"/>
      <c r="J9" s="402"/>
      <c r="K9" s="402"/>
      <c r="L9" s="402"/>
      <c r="M9" s="402"/>
      <c r="N9" s="402"/>
      <c r="O9" s="402"/>
      <c r="P9" s="402"/>
      <c r="Q9" s="429" t="s">
        <v>3</v>
      </c>
      <c r="R9" s="443" t="s">
        <v>24</v>
      </c>
      <c r="S9" s="401" t="s">
        <v>8</v>
      </c>
      <c r="T9" s="434" t="s">
        <v>45</v>
      </c>
      <c r="U9" s="437" t="s">
        <v>47</v>
      </c>
      <c r="V9" s="438"/>
      <c r="W9" s="439"/>
    </row>
    <row r="10" spans="1:23" ht="22.15" customHeight="1" x14ac:dyDescent="0.25">
      <c r="A10" s="398"/>
      <c r="B10" s="399"/>
      <c r="C10" s="398"/>
      <c r="D10" s="398"/>
      <c r="E10" s="398"/>
      <c r="F10" s="398"/>
      <c r="G10" s="386" t="s">
        <v>53</v>
      </c>
      <c r="H10" s="386" t="s">
        <v>54</v>
      </c>
      <c r="I10" s="386" t="s">
        <v>342</v>
      </c>
      <c r="J10" s="432" t="s">
        <v>98</v>
      </c>
      <c r="K10" s="432" t="s">
        <v>99</v>
      </c>
      <c r="L10" s="386" t="s">
        <v>100</v>
      </c>
      <c r="M10" s="432" t="s">
        <v>101</v>
      </c>
      <c r="N10" s="432" t="s">
        <v>102</v>
      </c>
      <c r="O10" s="386" t="s">
        <v>104</v>
      </c>
      <c r="P10" s="386" t="s">
        <v>103</v>
      </c>
      <c r="Q10" s="430"/>
      <c r="R10" s="444"/>
      <c r="S10" s="427"/>
      <c r="T10" s="435"/>
      <c r="U10" s="440"/>
      <c r="V10" s="441"/>
      <c r="W10" s="442"/>
    </row>
    <row r="11" spans="1:23" ht="37.5" customHeight="1" x14ac:dyDescent="0.25">
      <c r="A11" s="398"/>
      <c r="B11" s="400"/>
      <c r="C11" s="401"/>
      <c r="D11" s="401"/>
      <c r="E11" s="401"/>
      <c r="F11" s="401"/>
      <c r="G11" s="387"/>
      <c r="H11" s="387"/>
      <c r="I11" s="387"/>
      <c r="J11" s="433"/>
      <c r="K11" s="433"/>
      <c r="L11" s="387"/>
      <c r="M11" s="433"/>
      <c r="N11" s="433"/>
      <c r="O11" s="387"/>
      <c r="P11" s="387"/>
      <c r="Q11" s="431"/>
      <c r="R11" s="445"/>
      <c r="S11" s="428"/>
      <c r="T11" s="436"/>
      <c r="U11" s="85" t="s">
        <v>48</v>
      </c>
      <c r="V11" s="85" t="s">
        <v>49</v>
      </c>
      <c r="W11" s="37" t="s">
        <v>3</v>
      </c>
    </row>
    <row r="12" spans="1:23" ht="21" customHeight="1" x14ac:dyDescent="0.25">
      <c r="A12" s="218">
        <v>1</v>
      </c>
      <c r="B12" s="197" t="s">
        <v>379</v>
      </c>
      <c r="C12" s="197" t="s">
        <v>380</v>
      </c>
      <c r="D12" s="197" t="s">
        <v>31</v>
      </c>
      <c r="E12" s="388" t="s">
        <v>458</v>
      </c>
      <c r="F12" s="389"/>
      <c r="G12" s="213">
        <v>0</v>
      </c>
      <c r="H12" s="216">
        <v>0</v>
      </c>
      <c r="I12" s="213">
        <v>0</v>
      </c>
      <c r="J12" s="214">
        <v>0</v>
      </c>
      <c r="K12" s="213">
        <v>0</v>
      </c>
      <c r="L12" s="216">
        <v>0</v>
      </c>
      <c r="M12" s="216">
        <v>0</v>
      </c>
      <c r="N12" s="216">
        <v>0</v>
      </c>
      <c r="O12" s="213">
        <v>0</v>
      </c>
      <c r="P12" s="214">
        <v>0</v>
      </c>
      <c r="Q12" s="219">
        <f t="shared" ref="Q12:Q24" si="0">SUM(G12:P12)-W12</f>
        <v>0</v>
      </c>
      <c r="R12" s="220">
        <f t="shared" ref="R12:R24" si="1">Q12/14.5</f>
        <v>0</v>
      </c>
      <c r="S12" s="221" t="str">
        <f t="shared" ref="S12:S24" si="2">IF(R12&gt;=50*0.9,"A",IF(R12&gt;=50*0.8,"B",IF(R12&gt;=50*0.7,"C",IF(R12&gt;=50*0.6,"D",IF(R12&gt;=50*0.5,"E",IF(Q12=0,"NA","F"))))))</f>
        <v>NA</v>
      </c>
      <c r="T12" s="204">
        <f t="shared" ref="T12:T33" si="3">RANK(R12,$R$12:$R$33)</f>
        <v>22</v>
      </c>
      <c r="U12" s="213">
        <v>0</v>
      </c>
      <c r="V12" s="213">
        <v>0</v>
      </c>
      <c r="W12" s="206">
        <f>SUM(U12:V12)</f>
        <v>0</v>
      </c>
    </row>
    <row r="13" spans="1:23" ht="21" customHeight="1" x14ac:dyDescent="0.25">
      <c r="A13" s="171">
        <v>2</v>
      </c>
      <c r="B13" s="114" t="s">
        <v>381</v>
      </c>
      <c r="C13" s="114" t="s">
        <v>382</v>
      </c>
      <c r="D13" s="114" t="s">
        <v>32</v>
      </c>
      <c r="E13" s="384" t="s">
        <v>459</v>
      </c>
      <c r="F13" s="385"/>
      <c r="G13" s="161">
        <v>45</v>
      </c>
      <c r="H13" s="162">
        <v>38</v>
      </c>
      <c r="I13" s="161">
        <v>36</v>
      </c>
      <c r="J13" s="210">
        <v>33</v>
      </c>
      <c r="K13" s="161">
        <v>22</v>
      </c>
      <c r="L13" s="162">
        <v>20</v>
      </c>
      <c r="M13" s="162">
        <v>88</v>
      </c>
      <c r="N13" s="162">
        <v>81</v>
      </c>
      <c r="O13" s="161">
        <v>92</v>
      </c>
      <c r="P13" s="210">
        <v>100</v>
      </c>
      <c r="Q13" s="117">
        <f t="shared" si="0"/>
        <v>555</v>
      </c>
      <c r="R13" s="124">
        <f t="shared" si="1"/>
        <v>38.275862068965516</v>
      </c>
      <c r="S13" s="125" t="str">
        <f t="shared" si="2"/>
        <v>C</v>
      </c>
      <c r="T13" s="127">
        <f t="shared" si="3"/>
        <v>1</v>
      </c>
      <c r="U13" s="161">
        <v>0</v>
      </c>
      <c r="V13" s="161">
        <v>0</v>
      </c>
      <c r="W13" s="153">
        <f t="shared" ref="W13:W33" si="4">SUM(U13:V13)</f>
        <v>0</v>
      </c>
    </row>
    <row r="14" spans="1:23" ht="21" customHeight="1" x14ac:dyDescent="0.25">
      <c r="A14" s="170">
        <v>3</v>
      </c>
      <c r="B14" s="114" t="s">
        <v>130</v>
      </c>
      <c r="C14" s="114" t="s">
        <v>383</v>
      </c>
      <c r="D14" s="114" t="s">
        <v>31</v>
      </c>
      <c r="E14" s="384" t="s">
        <v>460</v>
      </c>
      <c r="F14" s="385"/>
      <c r="G14" s="161">
        <v>20</v>
      </c>
      <c r="H14" s="162">
        <v>1</v>
      </c>
      <c r="I14" s="161">
        <v>15</v>
      </c>
      <c r="J14" s="210">
        <v>25</v>
      </c>
      <c r="K14" s="161">
        <v>25</v>
      </c>
      <c r="L14" s="162">
        <v>20</v>
      </c>
      <c r="M14" s="162">
        <v>50</v>
      </c>
      <c r="N14" s="162">
        <v>30</v>
      </c>
      <c r="O14" s="161">
        <v>87</v>
      </c>
      <c r="P14" s="210">
        <v>100</v>
      </c>
      <c r="Q14" s="141">
        <f t="shared" si="0"/>
        <v>373</v>
      </c>
      <c r="R14" s="128">
        <f t="shared" si="1"/>
        <v>25.724137931034484</v>
      </c>
      <c r="S14" s="129" t="str">
        <f t="shared" si="2"/>
        <v>E</v>
      </c>
      <c r="T14" s="130">
        <f t="shared" si="3"/>
        <v>17</v>
      </c>
      <c r="U14" s="161">
        <v>0</v>
      </c>
      <c r="V14" s="161">
        <v>0</v>
      </c>
      <c r="W14" s="153">
        <f t="shared" si="4"/>
        <v>0</v>
      </c>
    </row>
    <row r="15" spans="1:23" ht="21" customHeight="1" x14ac:dyDescent="0.25">
      <c r="A15" s="171">
        <v>4</v>
      </c>
      <c r="B15" s="114" t="s">
        <v>105</v>
      </c>
      <c r="C15" s="114" t="s">
        <v>384</v>
      </c>
      <c r="D15" s="114" t="s">
        <v>32</v>
      </c>
      <c r="E15" s="384" t="s">
        <v>461</v>
      </c>
      <c r="F15" s="385"/>
      <c r="G15" s="161">
        <v>41</v>
      </c>
      <c r="H15" s="162">
        <v>45</v>
      </c>
      <c r="I15" s="161">
        <v>17</v>
      </c>
      <c r="J15" s="210">
        <v>30</v>
      </c>
      <c r="K15" s="161">
        <v>24</v>
      </c>
      <c r="L15" s="162">
        <v>20</v>
      </c>
      <c r="M15" s="162">
        <v>51</v>
      </c>
      <c r="N15" s="162">
        <v>40</v>
      </c>
      <c r="O15" s="161">
        <v>55</v>
      </c>
      <c r="P15" s="210">
        <v>100</v>
      </c>
      <c r="Q15" s="117">
        <f t="shared" si="0"/>
        <v>423</v>
      </c>
      <c r="R15" s="124">
        <f t="shared" si="1"/>
        <v>29.172413793103448</v>
      </c>
      <c r="S15" s="125" t="str">
        <f t="shared" si="2"/>
        <v>E</v>
      </c>
      <c r="T15" s="127">
        <f t="shared" si="3"/>
        <v>11</v>
      </c>
      <c r="U15" s="161">
        <v>0</v>
      </c>
      <c r="V15" s="161">
        <v>0</v>
      </c>
      <c r="W15" s="153">
        <f t="shared" si="4"/>
        <v>0</v>
      </c>
    </row>
    <row r="16" spans="1:23" ht="21" customHeight="1" x14ac:dyDescent="0.25">
      <c r="A16" s="170">
        <v>5</v>
      </c>
      <c r="B16" s="114" t="s">
        <v>385</v>
      </c>
      <c r="C16" s="114" t="s">
        <v>386</v>
      </c>
      <c r="D16" s="114" t="s">
        <v>32</v>
      </c>
      <c r="E16" s="384" t="s">
        <v>463</v>
      </c>
      <c r="F16" s="385"/>
      <c r="G16" s="161">
        <v>66</v>
      </c>
      <c r="H16" s="162">
        <v>10</v>
      </c>
      <c r="I16" s="161">
        <v>26</v>
      </c>
      <c r="J16" s="210">
        <v>15</v>
      </c>
      <c r="K16" s="161">
        <v>25</v>
      </c>
      <c r="L16" s="162">
        <v>20</v>
      </c>
      <c r="M16" s="162">
        <v>54</v>
      </c>
      <c r="N16" s="162">
        <v>50</v>
      </c>
      <c r="O16" s="161">
        <v>79</v>
      </c>
      <c r="P16" s="210">
        <v>100</v>
      </c>
      <c r="Q16" s="117">
        <f t="shared" si="0"/>
        <v>445</v>
      </c>
      <c r="R16" s="124">
        <f t="shared" si="1"/>
        <v>30.689655172413794</v>
      </c>
      <c r="S16" s="125" t="str">
        <f t="shared" si="2"/>
        <v>D</v>
      </c>
      <c r="T16" s="127">
        <f t="shared" si="3"/>
        <v>9</v>
      </c>
      <c r="U16" s="161">
        <v>0</v>
      </c>
      <c r="V16" s="161">
        <v>0</v>
      </c>
      <c r="W16" s="153">
        <f t="shared" si="4"/>
        <v>0</v>
      </c>
    </row>
    <row r="17" spans="1:23" ht="21" customHeight="1" x14ac:dyDescent="0.25">
      <c r="A17" s="171">
        <v>6</v>
      </c>
      <c r="B17" s="114" t="s">
        <v>110</v>
      </c>
      <c r="C17" s="114" t="s">
        <v>107</v>
      </c>
      <c r="D17" s="114" t="s">
        <v>31</v>
      </c>
      <c r="E17" s="384" t="s">
        <v>464</v>
      </c>
      <c r="F17" s="385"/>
      <c r="G17" s="161">
        <v>25</v>
      </c>
      <c r="H17" s="162">
        <v>2</v>
      </c>
      <c r="I17" s="161">
        <v>34</v>
      </c>
      <c r="J17" s="210">
        <v>41</v>
      </c>
      <c r="K17" s="161">
        <v>25</v>
      </c>
      <c r="L17" s="162">
        <v>20</v>
      </c>
      <c r="M17" s="162">
        <v>75</v>
      </c>
      <c r="N17" s="162">
        <v>85</v>
      </c>
      <c r="O17" s="161">
        <v>90</v>
      </c>
      <c r="P17" s="210">
        <v>100</v>
      </c>
      <c r="Q17" s="141">
        <f t="shared" si="0"/>
        <v>497</v>
      </c>
      <c r="R17" s="128">
        <f t="shared" si="1"/>
        <v>34.275862068965516</v>
      </c>
      <c r="S17" s="129" t="str">
        <f t="shared" si="2"/>
        <v>D</v>
      </c>
      <c r="T17" s="130">
        <f t="shared" si="3"/>
        <v>5</v>
      </c>
      <c r="U17" s="161">
        <v>0</v>
      </c>
      <c r="V17" s="161">
        <v>0</v>
      </c>
      <c r="W17" s="153">
        <f t="shared" si="4"/>
        <v>0</v>
      </c>
    </row>
    <row r="18" spans="1:23" ht="21" customHeight="1" x14ac:dyDescent="0.25">
      <c r="A18" s="170">
        <v>7</v>
      </c>
      <c r="B18" s="114" t="s">
        <v>387</v>
      </c>
      <c r="C18" s="114" t="s">
        <v>388</v>
      </c>
      <c r="D18" s="114" t="s">
        <v>31</v>
      </c>
      <c r="E18" s="384" t="s">
        <v>465</v>
      </c>
      <c r="F18" s="385"/>
      <c r="G18" s="161">
        <v>35</v>
      </c>
      <c r="H18" s="162">
        <v>2</v>
      </c>
      <c r="I18" s="161">
        <v>15</v>
      </c>
      <c r="J18" s="210">
        <v>37</v>
      </c>
      <c r="K18" s="161">
        <v>23</v>
      </c>
      <c r="L18" s="162">
        <v>20</v>
      </c>
      <c r="M18" s="162">
        <v>59</v>
      </c>
      <c r="N18" s="162">
        <v>50</v>
      </c>
      <c r="O18" s="161">
        <v>80</v>
      </c>
      <c r="P18" s="210">
        <v>100</v>
      </c>
      <c r="Q18" s="141">
        <f t="shared" si="0"/>
        <v>421</v>
      </c>
      <c r="R18" s="128">
        <f t="shared" si="1"/>
        <v>29.03448275862069</v>
      </c>
      <c r="S18" s="129" t="str">
        <f t="shared" si="2"/>
        <v>E</v>
      </c>
      <c r="T18" s="130">
        <f t="shared" si="3"/>
        <v>12</v>
      </c>
      <c r="U18" s="161">
        <v>0</v>
      </c>
      <c r="V18" s="161">
        <v>0</v>
      </c>
      <c r="W18" s="153">
        <f t="shared" si="4"/>
        <v>0</v>
      </c>
    </row>
    <row r="19" spans="1:23" ht="21" customHeight="1" x14ac:dyDescent="0.25">
      <c r="A19" s="171">
        <v>8</v>
      </c>
      <c r="B19" s="114" t="s">
        <v>389</v>
      </c>
      <c r="C19" s="114" t="s">
        <v>390</v>
      </c>
      <c r="D19" s="114" t="s">
        <v>31</v>
      </c>
      <c r="E19" s="384" t="s">
        <v>466</v>
      </c>
      <c r="F19" s="385"/>
      <c r="G19" s="161">
        <v>30</v>
      </c>
      <c r="H19" s="162">
        <v>10</v>
      </c>
      <c r="I19" s="161">
        <v>22</v>
      </c>
      <c r="J19" s="210">
        <v>23</v>
      </c>
      <c r="K19" s="161">
        <v>24</v>
      </c>
      <c r="L19" s="162">
        <v>20</v>
      </c>
      <c r="M19" s="162">
        <v>71</v>
      </c>
      <c r="N19" s="162">
        <v>81</v>
      </c>
      <c r="O19" s="161">
        <v>85</v>
      </c>
      <c r="P19" s="210">
        <v>100</v>
      </c>
      <c r="Q19" s="141">
        <f t="shared" si="0"/>
        <v>466</v>
      </c>
      <c r="R19" s="128">
        <f t="shared" si="1"/>
        <v>32.137931034482762</v>
      </c>
      <c r="S19" s="129" t="str">
        <f t="shared" si="2"/>
        <v>D</v>
      </c>
      <c r="T19" s="130">
        <f t="shared" si="3"/>
        <v>7</v>
      </c>
      <c r="U19" s="161">
        <v>0</v>
      </c>
      <c r="V19" s="161">
        <v>0</v>
      </c>
      <c r="W19" s="153">
        <f t="shared" si="4"/>
        <v>0</v>
      </c>
    </row>
    <row r="20" spans="1:23" ht="21" customHeight="1" x14ac:dyDescent="0.25">
      <c r="A20" s="170">
        <v>9</v>
      </c>
      <c r="B20" s="160" t="s">
        <v>367</v>
      </c>
      <c r="C20" s="160" t="s">
        <v>374</v>
      </c>
      <c r="D20" s="160" t="s">
        <v>31</v>
      </c>
      <c r="E20" s="406">
        <v>40284</v>
      </c>
      <c r="F20" s="407"/>
      <c r="G20" s="164">
        <v>25</v>
      </c>
      <c r="H20" s="200">
        <v>18</v>
      </c>
      <c r="I20" s="164">
        <v>22</v>
      </c>
      <c r="J20" s="208">
        <v>22</v>
      </c>
      <c r="K20" s="164">
        <v>25</v>
      </c>
      <c r="L20" s="162">
        <v>20</v>
      </c>
      <c r="M20" s="200">
        <v>71</v>
      </c>
      <c r="N20" s="200">
        <v>81</v>
      </c>
      <c r="O20" s="164">
        <v>30</v>
      </c>
      <c r="P20" s="208">
        <v>70</v>
      </c>
      <c r="Q20" s="141">
        <f>SUM(G20:P20)-W20</f>
        <v>384</v>
      </c>
      <c r="R20" s="128">
        <f t="shared" ref="R20:R23" si="5">Q20/14.5</f>
        <v>26.482758620689655</v>
      </c>
      <c r="S20" s="129" t="str">
        <f t="shared" ref="S20:S23" si="6">IF(R20&gt;=50*0.9,"A",IF(R20&gt;=50*0.8,"B",IF(R20&gt;=50*0.7,"C",IF(R20&gt;=50*0.6,"D",IF(R20&gt;=50*0.5,"E",IF(Q20=0,"NA","F"))))))</f>
        <v>E</v>
      </c>
      <c r="T20" s="130">
        <f t="shared" si="3"/>
        <v>16</v>
      </c>
      <c r="U20" s="164">
        <v>0</v>
      </c>
      <c r="V20" s="164">
        <v>0</v>
      </c>
      <c r="W20" s="153">
        <f t="shared" ref="W20:W23" si="7">SUM(U20:V20)</f>
        <v>0</v>
      </c>
    </row>
    <row r="21" spans="1:23" ht="21" customHeight="1" x14ac:dyDescent="0.25">
      <c r="A21" s="171">
        <v>10</v>
      </c>
      <c r="B21" s="114" t="s">
        <v>391</v>
      </c>
      <c r="C21" s="114" t="s">
        <v>392</v>
      </c>
      <c r="D21" s="114" t="s">
        <v>31</v>
      </c>
      <c r="E21" s="384" t="s">
        <v>467</v>
      </c>
      <c r="F21" s="385"/>
      <c r="G21" s="164">
        <v>25</v>
      </c>
      <c r="H21" s="200">
        <v>14</v>
      </c>
      <c r="I21" s="164">
        <v>18</v>
      </c>
      <c r="J21" s="208">
        <v>28</v>
      </c>
      <c r="K21" s="164">
        <v>24</v>
      </c>
      <c r="L21" s="162">
        <v>20</v>
      </c>
      <c r="M21" s="200">
        <v>31</v>
      </c>
      <c r="N21" s="200">
        <v>50</v>
      </c>
      <c r="O21" s="164">
        <v>60</v>
      </c>
      <c r="P21" s="208">
        <v>100</v>
      </c>
      <c r="Q21" s="141">
        <f t="shared" ref="Q21:Q23" si="8">SUM(G21:P21)-W21</f>
        <v>364</v>
      </c>
      <c r="R21" s="128">
        <f t="shared" si="5"/>
        <v>25.103448275862068</v>
      </c>
      <c r="S21" s="129" t="str">
        <f t="shared" si="6"/>
        <v>E</v>
      </c>
      <c r="T21" s="130">
        <f t="shared" si="3"/>
        <v>20</v>
      </c>
      <c r="U21" s="164">
        <v>4</v>
      </c>
      <c r="V21" s="164">
        <v>2</v>
      </c>
      <c r="W21" s="153">
        <f t="shared" si="7"/>
        <v>6</v>
      </c>
    </row>
    <row r="22" spans="1:23" ht="21" customHeight="1" x14ac:dyDescent="0.25">
      <c r="A22" s="170">
        <v>11</v>
      </c>
      <c r="B22" s="160" t="s">
        <v>456</v>
      </c>
      <c r="C22" s="160" t="s">
        <v>457</v>
      </c>
      <c r="D22" s="160" t="s">
        <v>31</v>
      </c>
      <c r="E22" s="406">
        <v>40430</v>
      </c>
      <c r="F22" s="407"/>
      <c r="G22" s="164">
        <v>40</v>
      </c>
      <c r="H22" s="200">
        <v>2</v>
      </c>
      <c r="I22" s="164">
        <v>18</v>
      </c>
      <c r="J22" s="208">
        <v>43</v>
      </c>
      <c r="K22" s="164">
        <v>25</v>
      </c>
      <c r="L22" s="162">
        <v>20</v>
      </c>
      <c r="M22" s="200">
        <v>70</v>
      </c>
      <c r="N22" s="200">
        <v>50</v>
      </c>
      <c r="O22" s="164">
        <v>30</v>
      </c>
      <c r="P22" s="208">
        <v>70</v>
      </c>
      <c r="Q22" s="141">
        <f>SUM(G22:P22)-W22</f>
        <v>368</v>
      </c>
      <c r="R22" s="128">
        <f t="shared" si="5"/>
        <v>25.379310344827587</v>
      </c>
      <c r="S22" s="129" t="str">
        <f t="shared" si="6"/>
        <v>E</v>
      </c>
      <c r="T22" s="130">
        <f t="shared" si="3"/>
        <v>19</v>
      </c>
      <c r="U22" s="164">
        <v>0</v>
      </c>
      <c r="V22" s="164">
        <v>0</v>
      </c>
      <c r="W22" s="153">
        <f t="shared" si="7"/>
        <v>0</v>
      </c>
    </row>
    <row r="23" spans="1:23" ht="21" customHeight="1" x14ac:dyDescent="0.25">
      <c r="A23" s="171">
        <v>12</v>
      </c>
      <c r="B23" s="114" t="s">
        <v>394</v>
      </c>
      <c r="C23" s="114" t="s">
        <v>232</v>
      </c>
      <c r="D23" s="114" t="s">
        <v>31</v>
      </c>
      <c r="E23" s="384" t="s">
        <v>468</v>
      </c>
      <c r="F23" s="385"/>
      <c r="G23" s="164">
        <v>10</v>
      </c>
      <c r="H23" s="200">
        <v>18</v>
      </c>
      <c r="I23" s="164">
        <v>10</v>
      </c>
      <c r="J23" s="208">
        <v>30</v>
      </c>
      <c r="K23" s="164">
        <v>24</v>
      </c>
      <c r="L23" s="162">
        <v>20</v>
      </c>
      <c r="M23" s="200">
        <v>48</v>
      </c>
      <c r="N23" s="200">
        <v>50</v>
      </c>
      <c r="O23" s="164">
        <v>60</v>
      </c>
      <c r="P23" s="208">
        <v>100</v>
      </c>
      <c r="Q23" s="141">
        <f t="shared" si="8"/>
        <v>364</v>
      </c>
      <c r="R23" s="128">
        <f t="shared" si="5"/>
        <v>25.103448275862068</v>
      </c>
      <c r="S23" s="129" t="str">
        <f t="shared" si="6"/>
        <v>E</v>
      </c>
      <c r="T23" s="130">
        <f t="shared" si="3"/>
        <v>20</v>
      </c>
      <c r="U23" s="164">
        <v>4</v>
      </c>
      <c r="V23" s="164">
        <v>2</v>
      </c>
      <c r="W23" s="153">
        <f t="shared" si="7"/>
        <v>6</v>
      </c>
    </row>
    <row r="24" spans="1:23" ht="21" customHeight="1" x14ac:dyDescent="0.25">
      <c r="A24" s="170">
        <v>13</v>
      </c>
      <c r="B24" s="114" t="s">
        <v>395</v>
      </c>
      <c r="C24" s="114" t="s">
        <v>396</v>
      </c>
      <c r="D24" s="114" t="s">
        <v>32</v>
      </c>
      <c r="E24" s="384" t="s">
        <v>469</v>
      </c>
      <c r="F24" s="385"/>
      <c r="G24" s="161">
        <v>40</v>
      </c>
      <c r="H24" s="162">
        <v>38</v>
      </c>
      <c r="I24" s="161">
        <v>39</v>
      </c>
      <c r="J24" s="210">
        <v>40</v>
      </c>
      <c r="K24" s="161">
        <v>24</v>
      </c>
      <c r="L24" s="162">
        <v>20</v>
      </c>
      <c r="M24" s="162">
        <v>79</v>
      </c>
      <c r="N24" s="162">
        <v>60</v>
      </c>
      <c r="O24" s="161">
        <v>80</v>
      </c>
      <c r="P24" s="210">
        <v>100</v>
      </c>
      <c r="Q24" s="141">
        <f t="shared" si="0"/>
        <v>520</v>
      </c>
      <c r="R24" s="128">
        <f t="shared" si="1"/>
        <v>35.862068965517238</v>
      </c>
      <c r="S24" s="129" t="str">
        <f t="shared" si="2"/>
        <v>C</v>
      </c>
      <c r="T24" s="130">
        <f t="shared" si="3"/>
        <v>3</v>
      </c>
      <c r="U24" s="161">
        <v>0</v>
      </c>
      <c r="V24" s="161">
        <v>0</v>
      </c>
      <c r="W24" s="153">
        <f t="shared" si="4"/>
        <v>0</v>
      </c>
    </row>
    <row r="25" spans="1:23" ht="21" customHeight="1" x14ac:dyDescent="0.25">
      <c r="A25" s="171">
        <v>14</v>
      </c>
      <c r="B25" s="114" t="s">
        <v>108</v>
      </c>
      <c r="C25" s="114" t="s">
        <v>135</v>
      </c>
      <c r="D25" s="114" t="s">
        <v>31</v>
      </c>
      <c r="E25" s="384" t="s">
        <v>470</v>
      </c>
      <c r="F25" s="385"/>
      <c r="G25" s="161">
        <v>25</v>
      </c>
      <c r="H25" s="162">
        <v>7</v>
      </c>
      <c r="I25" s="161">
        <v>24</v>
      </c>
      <c r="J25" s="210">
        <v>22</v>
      </c>
      <c r="K25" s="161">
        <v>20</v>
      </c>
      <c r="L25" s="162">
        <v>20</v>
      </c>
      <c r="M25" s="162">
        <v>52</v>
      </c>
      <c r="N25" s="162">
        <v>53</v>
      </c>
      <c r="O25" s="161">
        <v>75</v>
      </c>
      <c r="P25" s="210">
        <v>100</v>
      </c>
      <c r="Q25" s="195">
        <f t="shared" ref="Q25:Q32" si="9">SUM(G25:P25)-W25</f>
        <v>396</v>
      </c>
      <c r="R25" s="131">
        <f t="shared" ref="R25:R33" si="10">Q25/14.5</f>
        <v>27.310344827586206</v>
      </c>
      <c r="S25" s="132" t="str">
        <f t="shared" ref="S25:S33" si="11">IF(R25&gt;=50*0.9,"A",IF(R25&gt;=50*0.8,"B",IF(R25&gt;=50*0.7,"C",IF(R25&gt;=50*0.6,"D",IF(R25&gt;=50*0.5,"E",IF(Q25=0,"NA","F"))))))</f>
        <v>E</v>
      </c>
      <c r="T25" s="127">
        <f t="shared" si="3"/>
        <v>14</v>
      </c>
      <c r="U25" s="161">
        <v>2</v>
      </c>
      <c r="V25" s="161">
        <v>0</v>
      </c>
      <c r="W25" s="153">
        <f t="shared" si="4"/>
        <v>2</v>
      </c>
    </row>
    <row r="26" spans="1:23" ht="22.9" customHeight="1" x14ac:dyDescent="0.25">
      <c r="A26" s="170">
        <v>15</v>
      </c>
      <c r="B26" s="114" t="s">
        <v>397</v>
      </c>
      <c r="C26" s="114" t="s">
        <v>398</v>
      </c>
      <c r="D26" s="114" t="s">
        <v>31</v>
      </c>
      <c r="E26" s="384" t="s">
        <v>471</v>
      </c>
      <c r="F26" s="385"/>
      <c r="G26" s="161">
        <v>41</v>
      </c>
      <c r="H26" s="162">
        <v>38</v>
      </c>
      <c r="I26" s="161">
        <v>33</v>
      </c>
      <c r="J26" s="210">
        <v>40</v>
      </c>
      <c r="K26" s="161">
        <v>25</v>
      </c>
      <c r="L26" s="162">
        <v>20</v>
      </c>
      <c r="M26" s="162">
        <v>78</v>
      </c>
      <c r="N26" s="162">
        <v>81</v>
      </c>
      <c r="O26" s="161">
        <v>85</v>
      </c>
      <c r="P26" s="210">
        <v>100</v>
      </c>
      <c r="Q26" s="142">
        <f t="shared" si="9"/>
        <v>541</v>
      </c>
      <c r="R26" s="131">
        <f t="shared" si="10"/>
        <v>37.310344827586206</v>
      </c>
      <c r="S26" s="132" t="str">
        <f t="shared" si="11"/>
        <v>C</v>
      </c>
      <c r="T26" s="127">
        <f t="shared" si="3"/>
        <v>2</v>
      </c>
      <c r="U26" s="161">
        <v>0</v>
      </c>
      <c r="V26" s="161">
        <v>0</v>
      </c>
      <c r="W26" s="153">
        <f t="shared" si="4"/>
        <v>0</v>
      </c>
    </row>
    <row r="27" spans="1:23" ht="23.25" customHeight="1" x14ac:dyDescent="0.25">
      <c r="A27" s="171">
        <v>16</v>
      </c>
      <c r="B27" s="114" t="s">
        <v>399</v>
      </c>
      <c r="C27" s="114" t="s">
        <v>400</v>
      </c>
      <c r="D27" s="114" t="s">
        <v>31</v>
      </c>
      <c r="E27" s="384" t="s">
        <v>472</v>
      </c>
      <c r="F27" s="385"/>
      <c r="G27" s="161">
        <v>26</v>
      </c>
      <c r="H27" s="162">
        <v>16</v>
      </c>
      <c r="I27" s="161">
        <v>21</v>
      </c>
      <c r="J27" s="210">
        <v>44</v>
      </c>
      <c r="K27" s="161">
        <v>24</v>
      </c>
      <c r="L27" s="162">
        <v>20</v>
      </c>
      <c r="M27" s="162">
        <v>62</v>
      </c>
      <c r="N27" s="162">
        <v>78</v>
      </c>
      <c r="O27" s="161">
        <v>90</v>
      </c>
      <c r="P27" s="210">
        <v>100</v>
      </c>
      <c r="Q27" s="117">
        <f t="shared" si="9"/>
        <v>481</v>
      </c>
      <c r="R27" s="124">
        <f t="shared" si="10"/>
        <v>33.172413793103445</v>
      </c>
      <c r="S27" s="125" t="str">
        <f t="shared" si="11"/>
        <v>D</v>
      </c>
      <c r="T27" s="127">
        <f t="shared" si="3"/>
        <v>6</v>
      </c>
      <c r="U27" s="161">
        <v>0</v>
      </c>
      <c r="V27" s="161">
        <v>0</v>
      </c>
      <c r="W27" s="153">
        <f t="shared" si="4"/>
        <v>0</v>
      </c>
    </row>
    <row r="28" spans="1:23" ht="21" x14ac:dyDescent="0.25">
      <c r="A28" s="170">
        <v>17</v>
      </c>
      <c r="B28" s="114" t="s">
        <v>401</v>
      </c>
      <c r="C28" s="114" t="s">
        <v>307</v>
      </c>
      <c r="D28" s="114" t="s">
        <v>31</v>
      </c>
      <c r="E28" s="384" t="s">
        <v>473</v>
      </c>
      <c r="F28" s="385"/>
      <c r="G28" s="161">
        <v>40</v>
      </c>
      <c r="H28" s="162">
        <v>2</v>
      </c>
      <c r="I28" s="161">
        <v>18</v>
      </c>
      <c r="J28" s="210">
        <v>41</v>
      </c>
      <c r="K28" s="161">
        <v>23</v>
      </c>
      <c r="L28" s="162">
        <v>20</v>
      </c>
      <c r="M28" s="162">
        <v>58</v>
      </c>
      <c r="N28" s="162">
        <v>53</v>
      </c>
      <c r="O28" s="161">
        <v>90</v>
      </c>
      <c r="P28" s="210">
        <v>100</v>
      </c>
      <c r="Q28" s="141">
        <f t="shared" si="9"/>
        <v>441</v>
      </c>
      <c r="R28" s="128">
        <f t="shared" si="10"/>
        <v>30.413793103448278</v>
      </c>
      <c r="S28" s="129" t="str">
        <f t="shared" si="11"/>
        <v>D</v>
      </c>
      <c r="T28" s="130">
        <f t="shared" si="3"/>
        <v>10</v>
      </c>
      <c r="U28" s="161">
        <v>4</v>
      </c>
      <c r="V28" s="161">
        <v>0</v>
      </c>
      <c r="W28" s="153">
        <f t="shared" ref="W28:W32" si="12">SUM(U28:V28)</f>
        <v>4</v>
      </c>
    </row>
    <row r="29" spans="1:23" ht="21" customHeight="1" x14ac:dyDescent="0.25">
      <c r="A29" s="171">
        <v>18</v>
      </c>
      <c r="B29" s="114" t="s">
        <v>401</v>
      </c>
      <c r="C29" s="114" t="s">
        <v>402</v>
      </c>
      <c r="D29" s="114" t="s">
        <v>32</v>
      </c>
      <c r="E29" s="384" t="s">
        <v>474</v>
      </c>
      <c r="F29" s="385"/>
      <c r="G29" s="161">
        <v>39</v>
      </c>
      <c r="H29" s="162">
        <v>35</v>
      </c>
      <c r="I29" s="161">
        <v>27</v>
      </c>
      <c r="J29" s="210">
        <v>43</v>
      </c>
      <c r="K29" s="161">
        <v>24</v>
      </c>
      <c r="L29" s="162">
        <v>20</v>
      </c>
      <c r="M29" s="162">
        <v>50</v>
      </c>
      <c r="N29" s="162">
        <v>40</v>
      </c>
      <c r="O29" s="161">
        <v>75</v>
      </c>
      <c r="P29" s="210">
        <v>100</v>
      </c>
      <c r="Q29" s="117">
        <f t="shared" si="9"/>
        <v>450</v>
      </c>
      <c r="R29" s="124">
        <f t="shared" si="10"/>
        <v>31.03448275862069</v>
      </c>
      <c r="S29" s="125" t="str">
        <f t="shared" si="11"/>
        <v>D</v>
      </c>
      <c r="T29" s="127">
        <f t="shared" si="3"/>
        <v>8</v>
      </c>
      <c r="U29" s="161">
        <v>3</v>
      </c>
      <c r="V29" s="161">
        <v>0</v>
      </c>
      <c r="W29" s="153">
        <f t="shared" si="12"/>
        <v>3</v>
      </c>
    </row>
    <row r="30" spans="1:23" ht="21" customHeight="1" x14ac:dyDescent="0.25">
      <c r="A30" s="170">
        <v>19</v>
      </c>
      <c r="B30" s="114" t="s">
        <v>212</v>
      </c>
      <c r="C30" s="114" t="s">
        <v>403</v>
      </c>
      <c r="D30" s="114" t="s">
        <v>31</v>
      </c>
      <c r="E30" s="384" t="s">
        <v>475</v>
      </c>
      <c r="F30" s="385"/>
      <c r="G30" s="161">
        <v>24</v>
      </c>
      <c r="H30" s="162">
        <v>7</v>
      </c>
      <c r="I30" s="161">
        <v>18</v>
      </c>
      <c r="J30" s="210">
        <v>42</v>
      </c>
      <c r="K30" s="161">
        <v>25</v>
      </c>
      <c r="L30" s="162">
        <v>20</v>
      </c>
      <c r="M30" s="162">
        <v>54</v>
      </c>
      <c r="N30" s="162">
        <v>30</v>
      </c>
      <c r="O30" s="161">
        <v>50</v>
      </c>
      <c r="P30" s="210">
        <v>100</v>
      </c>
      <c r="Q30" s="141">
        <f t="shared" si="9"/>
        <v>370</v>
      </c>
      <c r="R30" s="128">
        <f t="shared" si="10"/>
        <v>25.517241379310345</v>
      </c>
      <c r="S30" s="129" t="str">
        <f t="shared" si="11"/>
        <v>E</v>
      </c>
      <c r="T30" s="130">
        <f t="shared" si="3"/>
        <v>18</v>
      </c>
      <c r="U30" s="161">
        <v>0</v>
      </c>
      <c r="V30" s="161">
        <v>0</v>
      </c>
      <c r="W30" s="153">
        <f t="shared" si="12"/>
        <v>0</v>
      </c>
    </row>
    <row r="31" spans="1:23" ht="23.25" customHeight="1" x14ac:dyDescent="0.25">
      <c r="A31" s="171">
        <v>20</v>
      </c>
      <c r="B31" s="114" t="s">
        <v>118</v>
      </c>
      <c r="C31" s="114" t="s">
        <v>404</v>
      </c>
      <c r="D31" s="114" t="s">
        <v>31</v>
      </c>
      <c r="E31" s="384" t="s">
        <v>476</v>
      </c>
      <c r="F31" s="385"/>
      <c r="G31" s="161">
        <v>30</v>
      </c>
      <c r="H31" s="162">
        <v>23</v>
      </c>
      <c r="I31" s="161">
        <v>19</v>
      </c>
      <c r="J31" s="210">
        <v>36</v>
      </c>
      <c r="K31" s="161">
        <v>23</v>
      </c>
      <c r="L31" s="162">
        <v>20</v>
      </c>
      <c r="M31" s="162">
        <v>51</v>
      </c>
      <c r="N31" s="162">
        <v>30</v>
      </c>
      <c r="O31" s="161">
        <v>55</v>
      </c>
      <c r="P31" s="210">
        <v>100</v>
      </c>
      <c r="Q31" s="142">
        <f t="shared" si="9"/>
        <v>387</v>
      </c>
      <c r="R31" s="131">
        <f t="shared" si="10"/>
        <v>26.689655172413794</v>
      </c>
      <c r="S31" s="132" t="str">
        <f t="shared" si="11"/>
        <v>E</v>
      </c>
      <c r="T31" s="127">
        <f t="shared" si="3"/>
        <v>15</v>
      </c>
      <c r="U31" s="161">
        <v>0</v>
      </c>
      <c r="V31" s="161">
        <v>0</v>
      </c>
      <c r="W31" s="153">
        <f t="shared" si="12"/>
        <v>0</v>
      </c>
    </row>
    <row r="32" spans="1:23" ht="21" x14ac:dyDescent="0.25">
      <c r="A32" s="170">
        <v>21</v>
      </c>
      <c r="B32" s="114" t="s">
        <v>118</v>
      </c>
      <c r="C32" s="114" t="s">
        <v>405</v>
      </c>
      <c r="D32" s="114" t="s">
        <v>31</v>
      </c>
      <c r="E32" s="384" t="s">
        <v>477</v>
      </c>
      <c r="F32" s="385"/>
      <c r="G32" s="161">
        <v>46</v>
      </c>
      <c r="H32" s="162">
        <v>38</v>
      </c>
      <c r="I32" s="161">
        <v>32</v>
      </c>
      <c r="J32" s="210">
        <v>18</v>
      </c>
      <c r="K32" s="161">
        <v>25</v>
      </c>
      <c r="L32" s="162">
        <v>20</v>
      </c>
      <c r="M32" s="162">
        <v>70</v>
      </c>
      <c r="N32" s="162">
        <v>77</v>
      </c>
      <c r="O32" s="161">
        <v>80</v>
      </c>
      <c r="P32" s="210">
        <v>100</v>
      </c>
      <c r="Q32" s="117">
        <f t="shared" si="9"/>
        <v>506</v>
      </c>
      <c r="R32" s="124">
        <f t="shared" si="10"/>
        <v>34.896551724137929</v>
      </c>
      <c r="S32" s="125" t="str">
        <f t="shared" si="11"/>
        <v>D</v>
      </c>
      <c r="T32" s="127">
        <f t="shared" si="3"/>
        <v>4</v>
      </c>
      <c r="U32" s="161">
        <v>0</v>
      </c>
      <c r="V32" s="161">
        <v>0</v>
      </c>
      <c r="W32" s="153">
        <f t="shared" si="12"/>
        <v>0</v>
      </c>
    </row>
    <row r="33" spans="1:23" ht="23.25" customHeight="1" x14ac:dyDescent="0.25">
      <c r="A33" s="171">
        <v>22</v>
      </c>
      <c r="B33" s="114" t="s">
        <v>226</v>
      </c>
      <c r="C33" s="114" t="s">
        <v>406</v>
      </c>
      <c r="D33" s="114" t="s">
        <v>31</v>
      </c>
      <c r="E33" s="384" t="s">
        <v>478</v>
      </c>
      <c r="F33" s="385"/>
      <c r="G33" s="161">
        <v>14</v>
      </c>
      <c r="H33" s="162">
        <v>2</v>
      </c>
      <c r="I33" s="161">
        <v>15</v>
      </c>
      <c r="J33" s="210">
        <v>50</v>
      </c>
      <c r="K33" s="161">
        <v>23</v>
      </c>
      <c r="L33" s="162">
        <v>20</v>
      </c>
      <c r="M33" s="162">
        <v>58</v>
      </c>
      <c r="N33" s="162">
        <v>50</v>
      </c>
      <c r="O33" s="161">
        <v>70</v>
      </c>
      <c r="P33" s="210">
        <v>100</v>
      </c>
      <c r="Q33" s="141">
        <f>SUM(G33:P33)-W33</f>
        <v>402</v>
      </c>
      <c r="R33" s="128">
        <f t="shared" si="10"/>
        <v>27.724137931034484</v>
      </c>
      <c r="S33" s="129" t="str">
        <f t="shared" si="11"/>
        <v>E</v>
      </c>
      <c r="T33" s="130">
        <f t="shared" si="3"/>
        <v>13</v>
      </c>
      <c r="U33" s="161">
        <v>0</v>
      </c>
      <c r="V33" s="161">
        <v>0</v>
      </c>
      <c r="W33" s="153">
        <f t="shared" si="4"/>
        <v>0</v>
      </c>
    </row>
    <row r="34" spans="1:23" ht="30" customHeight="1" x14ac:dyDescent="0.25">
      <c r="A34" s="374" t="str">
        <f>"បញ្ឈប់បញ្ជីត្រឹមឈ្មោះ ហ៊ន សុខហ៊ីន  "&amp;"      ចំនួនសរុប  "&amp;COUNT(A12:A33)&amp;"  នាក់"&amp;"      ក្នុងនោះស្រី  "&amp;COUNTIF(D12:D33,"ស")&amp;"  នាក់ ។"</f>
        <v>បញ្ឈប់បញ្ជីត្រឹមឈ្មោះ ហ៊ន សុខហ៊ីន        ចំនួនសរុប  22  នាក់      ក្នុងនោះស្រី  5  នាក់ ។</v>
      </c>
      <c r="B34" s="374"/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9"/>
      <c r="S34" s="9"/>
      <c r="U34" s="154"/>
      <c r="V34" s="154"/>
    </row>
    <row r="35" spans="1:23" ht="22.9" customHeight="1" x14ac:dyDescent="0.25">
      <c r="B35" s="53" t="s">
        <v>34</v>
      </c>
      <c r="C35" s="53"/>
    </row>
    <row r="36" spans="1:23" ht="23.25" x14ac:dyDescent="0.65">
      <c r="B36" s="410" t="s">
        <v>79</v>
      </c>
      <c r="C36" s="411"/>
      <c r="D36" s="42" t="s">
        <v>26</v>
      </c>
      <c r="E36" s="382" t="s">
        <v>52</v>
      </c>
      <c r="F36" s="383"/>
      <c r="Q36" s="23"/>
    </row>
    <row r="37" spans="1:23" ht="21.95" customHeight="1" x14ac:dyDescent="0.25">
      <c r="B37" s="416" t="s">
        <v>80</v>
      </c>
      <c r="C37" s="417"/>
      <c r="D37" s="43" t="s">
        <v>27</v>
      </c>
      <c r="E37" s="367" t="s">
        <v>35</v>
      </c>
      <c r="F37" s="368"/>
    </row>
    <row r="38" spans="1:23" ht="21.95" customHeight="1" x14ac:dyDescent="0.25">
      <c r="B38" s="425" t="s">
        <v>81</v>
      </c>
      <c r="C38" s="426"/>
      <c r="D38" s="44" t="s">
        <v>28</v>
      </c>
      <c r="E38" s="371" t="s">
        <v>36</v>
      </c>
      <c r="F38" s="372"/>
      <c r="I38" s="38"/>
      <c r="J38" s="39"/>
      <c r="K38" s="38"/>
      <c r="L38" s="39"/>
      <c r="M38" s="38"/>
      <c r="N38" s="379"/>
      <c r="O38" s="379"/>
      <c r="P38" s="379"/>
    </row>
    <row r="39" spans="1:23" ht="24.95" customHeight="1" x14ac:dyDescent="0.25">
      <c r="A39" s="41"/>
      <c r="B39" s="414" t="s">
        <v>82</v>
      </c>
      <c r="C39" s="415"/>
      <c r="D39" s="45" t="s">
        <v>29</v>
      </c>
      <c r="E39" s="331" t="s">
        <v>42</v>
      </c>
      <c r="F39" s="332"/>
      <c r="I39" s="25"/>
      <c r="J39" s="26"/>
      <c r="K39" s="26"/>
      <c r="L39" s="26"/>
      <c r="M39" s="26"/>
      <c r="N39" s="8"/>
      <c r="O39" s="8"/>
      <c r="P39" s="8"/>
    </row>
    <row r="40" spans="1:23" ht="24.95" customHeight="1" x14ac:dyDescent="0.8">
      <c r="A40" s="31"/>
      <c r="B40" s="408" t="s">
        <v>83</v>
      </c>
      <c r="C40" s="409"/>
      <c r="D40" s="46" t="s">
        <v>41</v>
      </c>
      <c r="E40" s="335" t="s">
        <v>37</v>
      </c>
      <c r="F40" s="336"/>
      <c r="I40" s="26"/>
      <c r="J40" s="26"/>
      <c r="K40" s="26"/>
      <c r="L40" s="13"/>
      <c r="M40" s="13"/>
      <c r="N40" s="13"/>
      <c r="O40" s="13"/>
      <c r="P40" s="13"/>
    </row>
    <row r="41" spans="1:23" ht="24.95" customHeight="1" x14ac:dyDescent="0.8">
      <c r="A41" s="31"/>
      <c r="B41" s="412" t="s">
        <v>84</v>
      </c>
      <c r="C41" s="413"/>
      <c r="D41" s="47" t="s">
        <v>30</v>
      </c>
      <c r="E41" s="339" t="s">
        <v>38</v>
      </c>
      <c r="F41" s="339"/>
      <c r="G41" s="71"/>
      <c r="H41" s="71"/>
      <c r="I41" s="26"/>
      <c r="J41" s="26"/>
      <c r="K41" s="26"/>
      <c r="L41" s="13"/>
      <c r="M41" s="13"/>
      <c r="N41" s="13"/>
      <c r="O41" s="13"/>
      <c r="P41" s="13"/>
    </row>
    <row r="42" spans="1:23" ht="45" customHeight="1" x14ac:dyDescent="0.8">
      <c r="A42" s="31"/>
      <c r="B42" s="345" t="s">
        <v>92</v>
      </c>
      <c r="C42" s="345"/>
      <c r="D42" s="345"/>
      <c r="E42" s="345"/>
      <c r="F42" s="345"/>
      <c r="G42" s="346"/>
      <c r="H42" s="346"/>
      <c r="I42" s="346"/>
      <c r="J42" s="26"/>
      <c r="K42" s="26"/>
      <c r="L42" s="13"/>
      <c r="M42" s="13"/>
      <c r="N42" s="13"/>
      <c r="O42" s="13"/>
      <c r="P42" s="13"/>
    </row>
    <row r="43" spans="1:23" ht="30" customHeight="1" x14ac:dyDescent="0.65">
      <c r="A43" s="252" t="s">
        <v>33</v>
      </c>
      <c r="B43" s="252"/>
      <c r="C43" s="252"/>
      <c r="D43" s="252"/>
      <c r="E43" s="347"/>
      <c r="F43" s="69" t="s">
        <v>3</v>
      </c>
      <c r="G43" s="70" t="s">
        <v>4</v>
      </c>
      <c r="I43" s="26"/>
      <c r="J43" s="26"/>
      <c r="K43" s="26"/>
      <c r="L43" s="13"/>
      <c r="M43" s="13"/>
      <c r="N43" s="9"/>
    </row>
    <row r="44" spans="1:23" ht="25.5" customHeight="1" x14ac:dyDescent="0.65">
      <c r="B44" s="418" t="s">
        <v>55</v>
      </c>
      <c r="C44" s="419"/>
      <c r="D44" s="422" t="s">
        <v>67</v>
      </c>
      <c r="E44" s="423"/>
      <c r="F44" s="67">
        <f>D47+F47</f>
        <v>21</v>
      </c>
      <c r="G44" s="68">
        <f>E47+G47</f>
        <v>5</v>
      </c>
      <c r="H44" s="358" t="s">
        <v>8</v>
      </c>
      <c r="I44" s="359"/>
      <c r="J44" s="359"/>
      <c r="K44" s="359"/>
      <c r="L44" s="359"/>
      <c r="M44" s="359"/>
      <c r="N44" s="359"/>
      <c r="O44" s="359"/>
      <c r="P44" s="359"/>
      <c r="Q44" s="359"/>
      <c r="R44" s="359"/>
      <c r="S44" s="360"/>
      <c r="T44" s="80" t="s">
        <v>85</v>
      </c>
      <c r="U44" s="80"/>
    </row>
    <row r="45" spans="1:23" ht="41.45" customHeight="1" x14ac:dyDescent="0.25">
      <c r="A45" s="8"/>
      <c r="B45" s="420"/>
      <c r="C45" s="421"/>
      <c r="D45" s="361" t="s">
        <v>77</v>
      </c>
      <c r="E45" s="362"/>
      <c r="F45" s="363" t="s">
        <v>86</v>
      </c>
      <c r="G45" s="364"/>
      <c r="H45" s="341" t="s">
        <v>26</v>
      </c>
      <c r="I45" s="342"/>
      <c r="J45" s="341" t="s">
        <v>27</v>
      </c>
      <c r="K45" s="342"/>
      <c r="L45" s="341" t="s">
        <v>28</v>
      </c>
      <c r="M45" s="342"/>
      <c r="N45" s="341" t="s">
        <v>29</v>
      </c>
      <c r="O45" s="342"/>
      <c r="P45" s="343" t="s">
        <v>41</v>
      </c>
      <c r="Q45" s="344"/>
      <c r="R45" s="348" t="s">
        <v>88</v>
      </c>
      <c r="S45" s="349"/>
      <c r="T45" s="80"/>
      <c r="U45" s="80"/>
    </row>
    <row r="46" spans="1:23" ht="23.25" x14ac:dyDescent="0.6">
      <c r="A46" s="8"/>
      <c r="B46" s="4" t="s">
        <v>3</v>
      </c>
      <c r="C46" s="33" t="s">
        <v>4</v>
      </c>
      <c r="D46" s="4" t="s">
        <v>3</v>
      </c>
      <c r="E46" s="33" t="s">
        <v>4</v>
      </c>
      <c r="F46" s="4" t="s">
        <v>3</v>
      </c>
      <c r="G46" s="33" t="s">
        <v>4</v>
      </c>
      <c r="H46" s="4" t="s">
        <v>3</v>
      </c>
      <c r="I46" s="52" t="s">
        <v>4</v>
      </c>
      <c r="J46" s="40" t="s">
        <v>3</v>
      </c>
      <c r="K46" s="33" t="s">
        <v>4</v>
      </c>
      <c r="L46" s="4" t="s">
        <v>3</v>
      </c>
      <c r="M46" s="33" t="s">
        <v>4</v>
      </c>
      <c r="N46" s="4" t="s">
        <v>3</v>
      </c>
      <c r="O46" s="33" t="s">
        <v>4</v>
      </c>
      <c r="P46" s="4" t="s">
        <v>3</v>
      </c>
      <c r="Q46" s="33" t="s">
        <v>4</v>
      </c>
      <c r="R46" s="63" t="s">
        <v>3</v>
      </c>
      <c r="S46" s="64" t="s">
        <v>4</v>
      </c>
      <c r="T46" s="33"/>
      <c r="U46" s="4"/>
    </row>
    <row r="47" spans="1:23" ht="23.25" customHeight="1" x14ac:dyDescent="0.25">
      <c r="A47" s="8"/>
      <c r="B47" s="55">
        <f>COUNT(A12:A33)</f>
        <v>22</v>
      </c>
      <c r="C47" s="56">
        <f>COUNTIF(D12:D33,"ស")</f>
        <v>5</v>
      </c>
      <c r="D47" s="55">
        <f>SUM(H47,J47,L47,N47,P47)</f>
        <v>21</v>
      </c>
      <c r="E47" s="56">
        <f>SUM(I47,K47,M47,O47,Q47)</f>
        <v>5</v>
      </c>
      <c r="F47" s="32">
        <f>COUNTIF(S12:S33,"F")</f>
        <v>0</v>
      </c>
      <c r="G47" s="34">
        <f>COUNTIFS(S12:S25,"F",D12:D25,"ស")</f>
        <v>0</v>
      </c>
      <c r="H47" s="35">
        <f>COUNTIF(S12:S33,"A")</f>
        <v>0</v>
      </c>
      <c r="I47" s="34">
        <f>COUNTIFS(S12:S33,"A",D12:D33,"ស")</f>
        <v>0</v>
      </c>
      <c r="J47" s="35">
        <f>COUNTIF(S12:S33,"B")</f>
        <v>0</v>
      </c>
      <c r="K47" s="34">
        <f>COUNTIFS(S12:S33,"B",D12:D33,"ស")</f>
        <v>0</v>
      </c>
      <c r="L47" s="35">
        <f>COUNTIF(S12:S33,"C")</f>
        <v>3</v>
      </c>
      <c r="M47" s="34">
        <f>COUNTIFS(S12:S33,"C",D12:D33,"ស")</f>
        <v>2</v>
      </c>
      <c r="N47" s="35">
        <f>COUNTIF(S12:S33,"D")</f>
        <v>7</v>
      </c>
      <c r="O47" s="34">
        <f>COUNTIFS(S12:S33,"D",D12:D33,"ស")</f>
        <v>2</v>
      </c>
      <c r="P47" s="35">
        <f>COUNTIF(S12:S33,"E")</f>
        <v>11</v>
      </c>
      <c r="Q47" s="34">
        <f>COUNTIFS(S12:S33,"E",D12:D33,"ស")</f>
        <v>1</v>
      </c>
      <c r="R47" s="65">
        <f>COUNTIF(S12:S33,"NA")</f>
        <v>1</v>
      </c>
      <c r="S47" s="66">
        <f>COUNTIFS(S12:S33,"NA",D12:D33,"ស")</f>
        <v>0</v>
      </c>
      <c r="T47" s="34"/>
      <c r="U47" s="55"/>
    </row>
    <row r="48" spans="1:23" ht="22.5" customHeight="1" x14ac:dyDescent="0.35">
      <c r="A48" s="8"/>
      <c r="B48" s="12"/>
      <c r="D48" s="54"/>
      <c r="O48" s="424" t="s">
        <v>528</v>
      </c>
      <c r="P48" s="424"/>
      <c r="Q48" s="424"/>
      <c r="R48" s="424"/>
      <c r="S48" s="424"/>
      <c r="T48" s="424"/>
      <c r="U48" s="424"/>
      <c r="V48" s="424"/>
      <c r="W48" s="424"/>
    </row>
    <row r="49" spans="1:23" ht="22.5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9"/>
      <c r="P49" s="351" t="s">
        <v>527</v>
      </c>
      <c r="Q49" s="351"/>
      <c r="R49" s="351"/>
      <c r="S49" s="351"/>
      <c r="T49" s="351"/>
      <c r="U49" s="351"/>
      <c r="V49" s="351"/>
      <c r="W49" s="351"/>
    </row>
    <row r="50" spans="1:23" ht="22.5" customHeight="1" x14ac:dyDescent="0.65">
      <c r="A50" s="340" t="s">
        <v>22</v>
      </c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M50" s="340"/>
      <c r="N50" s="11"/>
      <c r="O50" s="13"/>
      <c r="P50" s="13"/>
      <c r="Q50" s="321" t="s">
        <v>16</v>
      </c>
      <c r="R50" s="321"/>
      <c r="S50" s="321"/>
      <c r="T50" s="321"/>
      <c r="U50" s="321"/>
      <c r="V50" s="321"/>
      <c r="W50" s="321"/>
    </row>
    <row r="51" spans="1:23" ht="24.75" customHeight="1" x14ac:dyDescent="0.25">
      <c r="A51" s="340" t="str">
        <f>ស្ថិតិលទ្ធផលសិក្សាតាមនិទ្ទេស!A73</f>
        <v>នាយកសាលា</v>
      </c>
      <c r="B51" s="340"/>
      <c r="C51" s="340"/>
      <c r="D51" s="340"/>
      <c r="E51" s="340"/>
      <c r="F51" s="340"/>
      <c r="G51" s="340"/>
      <c r="H51" s="340"/>
      <c r="I51" s="340"/>
      <c r="J51" s="340"/>
      <c r="K51" s="340"/>
      <c r="L51" s="340"/>
      <c r="M51" s="340"/>
      <c r="N51" s="13"/>
      <c r="O51" s="13"/>
      <c r="P51" s="13"/>
      <c r="Q51" s="18"/>
      <c r="R51" s="19"/>
      <c r="S51" s="16"/>
    </row>
    <row r="52" spans="1:23" ht="21" customHeight="1" x14ac:dyDescent="0.25">
      <c r="N52" s="16"/>
      <c r="O52" s="16"/>
      <c r="P52" s="16"/>
      <c r="Q52" s="21"/>
      <c r="R52" s="16"/>
      <c r="S52" s="16"/>
    </row>
    <row r="53" spans="1:23" ht="21" x14ac:dyDescent="0.25">
      <c r="A53" s="14"/>
      <c r="B53" s="22"/>
      <c r="C53" s="22"/>
      <c r="D53" s="22"/>
      <c r="E53" s="22"/>
      <c r="F53" s="22"/>
      <c r="G53" s="22"/>
      <c r="I53" s="22"/>
      <c r="J53" s="17"/>
      <c r="K53" s="15"/>
      <c r="L53" s="15"/>
      <c r="M53" s="20"/>
      <c r="N53" s="16"/>
      <c r="O53" s="16"/>
      <c r="P53" s="16"/>
      <c r="Q53" s="21"/>
      <c r="R53" s="16"/>
      <c r="S53" s="16"/>
    </row>
  </sheetData>
  <mergeCells count="84">
    <mergeCell ref="A1:W1"/>
    <mergeCell ref="A2:W2"/>
    <mergeCell ref="A3:W3"/>
    <mergeCell ref="U4:W4"/>
    <mergeCell ref="A4:K4"/>
    <mergeCell ref="A7:W7"/>
    <mergeCell ref="A8:W8"/>
    <mergeCell ref="A9:A11"/>
    <mergeCell ref="B9:B11"/>
    <mergeCell ref="C9:C11"/>
    <mergeCell ref="D9:D11"/>
    <mergeCell ref="E9:F11"/>
    <mergeCell ref="T9:T11"/>
    <mergeCell ref="U9:W10"/>
    <mergeCell ref="G10:G11"/>
    <mergeCell ref="H10:H11"/>
    <mergeCell ref="I10:I11"/>
    <mergeCell ref="J10:J11"/>
    <mergeCell ref="K10:K11"/>
    <mergeCell ref="L10:L11"/>
    <mergeCell ref="R9:R11"/>
    <mergeCell ref="S9:S11"/>
    <mergeCell ref="E14:F14"/>
    <mergeCell ref="E15:F15"/>
    <mergeCell ref="G9:P9"/>
    <mergeCell ref="Q9:Q11"/>
    <mergeCell ref="M10:M11"/>
    <mergeCell ref="N10:N11"/>
    <mergeCell ref="O10:O11"/>
    <mergeCell ref="P10:P11"/>
    <mergeCell ref="E12:F12"/>
    <mergeCell ref="E13:F13"/>
    <mergeCell ref="E16:F16"/>
    <mergeCell ref="E25:F25"/>
    <mergeCell ref="P49:W49"/>
    <mergeCell ref="Q50:W50"/>
    <mergeCell ref="O48:W48"/>
    <mergeCell ref="N38:P38"/>
    <mergeCell ref="E17:F17"/>
    <mergeCell ref="E26:F26"/>
    <mergeCell ref="E27:F27"/>
    <mergeCell ref="A34:Q34"/>
    <mergeCell ref="E38:F38"/>
    <mergeCell ref="E29:F29"/>
    <mergeCell ref="E30:F30"/>
    <mergeCell ref="E37:F37"/>
    <mergeCell ref="A43:E43"/>
    <mergeCell ref="B38:C38"/>
    <mergeCell ref="A51:M51"/>
    <mergeCell ref="B44:C45"/>
    <mergeCell ref="D44:E44"/>
    <mergeCell ref="H44:S44"/>
    <mergeCell ref="D45:E45"/>
    <mergeCell ref="F45:G45"/>
    <mergeCell ref="H45:I45"/>
    <mergeCell ref="J45:K45"/>
    <mergeCell ref="L45:M45"/>
    <mergeCell ref="N45:O45"/>
    <mergeCell ref="P45:Q45"/>
    <mergeCell ref="R45:S45"/>
    <mergeCell ref="A50:M50"/>
    <mergeCell ref="A5:K5"/>
    <mergeCell ref="B40:C40"/>
    <mergeCell ref="E40:F40"/>
    <mergeCell ref="B42:I42"/>
    <mergeCell ref="A6:K6"/>
    <mergeCell ref="E33:F33"/>
    <mergeCell ref="B36:C36"/>
    <mergeCell ref="E36:F36"/>
    <mergeCell ref="B41:C41"/>
    <mergeCell ref="E41:F41"/>
    <mergeCell ref="B39:C39"/>
    <mergeCell ref="E39:F39"/>
    <mergeCell ref="B37:C37"/>
    <mergeCell ref="E31:F31"/>
    <mergeCell ref="E28:F28"/>
    <mergeCell ref="E32:F32"/>
    <mergeCell ref="E18:F18"/>
    <mergeCell ref="E24:F24"/>
    <mergeCell ref="E23:F23"/>
    <mergeCell ref="E21:F21"/>
    <mergeCell ref="E19:F19"/>
    <mergeCell ref="E20:F20"/>
    <mergeCell ref="E22:F22"/>
  </mergeCells>
  <pageMargins left="0.12" right="0.12" top="0.24" bottom="0.13" header="0.28000000000000003" footer="0.1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1"/>
  <sheetViews>
    <sheetView view="pageBreakPreview" topLeftCell="A52" zoomScale="110" zoomScaleNormal="85" zoomScaleSheetLayoutView="110" zoomScalePageLayoutView="110" workbookViewId="0">
      <selection activeCell="P65" sqref="P65"/>
    </sheetView>
  </sheetViews>
  <sheetFormatPr defaultRowHeight="15" x14ac:dyDescent="0.25"/>
  <cols>
    <col min="1" max="1" width="4.42578125" customWidth="1"/>
    <col min="2" max="2" width="8.140625" customWidth="1"/>
    <col min="3" max="3" width="11" customWidth="1"/>
    <col min="4" max="4" width="5.28515625" customWidth="1"/>
    <col min="5" max="5" width="11.85546875" customWidth="1"/>
    <col min="6" max="6" width="5.85546875" style="98" customWidth="1"/>
    <col min="7" max="7" width="5.85546875" customWidth="1"/>
    <col min="8" max="10" width="5" customWidth="1"/>
    <col min="11" max="11" width="4.85546875" customWidth="1"/>
    <col min="12" max="15" width="5" customWidth="1"/>
    <col min="16" max="16" width="5.140625" customWidth="1"/>
    <col min="17" max="17" width="5.85546875" customWidth="1"/>
    <col min="18" max="18" width="7.42578125" customWidth="1"/>
    <col min="19" max="19" width="5.5703125" customWidth="1"/>
    <col min="20" max="20" width="6.42578125" customWidth="1"/>
    <col min="21" max="21" width="6.7109375" customWidth="1"/>
    <col min="22" max="22" width="5.5703125" customWidth="1"/>
    <col min="23" max="23" width="6.85546875" customWidth="1"/>
  </cols>
  <sheetData>
    <row r="1" spans="1:23" s="83" customFormat="1" ht="19.149999999999999" customHeight="1" x14ac:dyDescent="0.25">
      <c r="A1" s="476" t="s">
        <v>13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</row>
    <row r="2" spans="1:23" s="83" customFormat="1" ht="19.149999999999999" customHeight="1" x14ac:dyDescent="0.25">
      <c r="A2" s="477" t="s">
        <v>19</v>
      </c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  <c r="V2" s="477"/>
      <c r="W2" s="477"/>
    </row>
    <row r="3" spans="1:23" ht="15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</row>
    <row r="4" spans="1:23" ht="19.5" customHeight="1" x14ac:dyDescent="0.25">
      <c r="A4" s="471" t="s">
        <v>15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7"/>
      <c r="M4" s="7"/>
      <c r="N4" s="7"/>
      <c r="O4" s="7"/>
      <c r="P4" s="7"/>
      <c r="Q4" s="6"/>
      <c r="R4" s="5"/>
      <c r="S4" s="5"/>
      <c r="U4" s="395" t="s">
        <v>64</v>
      </c>
      <c r="V4" s="395"/>
      <c r="W4" s="395"/>
    </row>
    <row r="5" spans="1:23" ht="22.5" customHeight="1" x14ac:dyDescent="0.25">
      <c r="A5" s="471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7"/>
      <c r="M5" s="7"/>
      <c r="N5" s="7"/>
      <c r="O5" s="7"/>
      <c r="P5" s="7"/>
      <c r="Q5" s="6"/>
      <c r="R5" s="5"/>
      <c r="S5" s="5"/>
    </row>
    <row r="6" spans="1:23" ht="24" customHeight="1" x14ac:dyDescent="0.25">
      <c r="A6" s="471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471"/>
      <c r="C6" s="471"/>
      <c r="D6" s="471"/>
      <c r="E6" s="471"/>
      <c r="F6" s="471"/>
      <c r="G6" s="471"/>
      <c r="H6" s="471"/>
      <c r="I6" s="471"/>
      <c r="J6" s="471"/>
      <c r="K6" s="471"/>
      <c r="L6" s="7"/>
      <c r="M6" s="7"/>
      <c r="N6" s="7"/>
      <c r="O6" s="7"/>
      <c r="P6" s="7"/>
      <c r="Q6" s="6"/>
      <c r="R6" s="5"/>
      <c r="S6" s="5"/>
    </row>
    <row r="7" spans="1:23" ht="24.75" customHeight="1" x14ac:dyDescent="0.25">
      <c r="A7" s="396" t="s">
        <v>533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</row>
    <row r="8" spans="1:23" ht="18" customHeight="1" x14ac:dyDescent="0.25">
      <c r="A8" s="397" t="str">
        <f>មេកានិច១!A8</f>
        <v>ឆ្នាំសិក្សា ២០២៥- ២០២៦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</row>
    <row r="9" spans="1:23" ht="17.45" customHeight="1" x14ac:dyDescent="0.25">
      <c r="A9" s="398" t="s">
        <v>0</v>
      </c>
      <c r="B9" s="398" t="s">
        <v>25</v>
      </c>
      <c r="C9" s="398" t="s">
        <v>20</v>
      </c>
      <c r="D9" s="401" t="s">
        <v>21</v>
      </c>
      <c r="E9" s="472" t="s">
        <v>50</v>
      </c>
      <c r="F9" s="473"/>
      <c r="G9" s="402" t="s">
        <v>23</v>
      </c>
      <c r="H9" s="402"/>
      <c r="I9" s="402"/>
      <c r="J9" s="402"/>
      <c r="K9" s="402"/>
      <c r="L9" s="402"/>
      <c r="M9" s="402"/>
      <c r="N9" s="402"/>
      <c r="O9" s="402"/>
      <c r="P9" s="402"/>
      <c r="Q9" s="403" t="s">
        <v>3</v>
      </c>
      <c r="R9" s="390" t="s">
        <v>24</v>
      </c>
      <c r="S9" s="398" t="s">
        <v>8</v>
      </c>
      <c r="T9" s="391" t="s">
        <v>45</v>
      </c>
      <c r="U9" s="437" t="s">
        <v>47</v>
      </c>
      <c r="V9" s="438"/>
      <c r="W9" s="439"/>
    </row>
    <row r="10" spans="1:23" ht="16.899999999999999" customHeight="1" x14ac:dyDescent="0.25">
      <c r="A10" s="398"/>
      <c r="B10" s="398"/>
      <c r="C10" s="398"/>
      <c r="D10" s="427"/>
      <c r="E10" s="474"/>
      <c r="F10" s="475"/>
      <c r="G10" s="387" t="s">
        <v>53</v>
      </c>
      <c r="H10" s="387" t="s">
        <v>54</v>
      </c>
      <c r="I10" s="387" t="s">
        <v>97</v>
      </c>
      <c r="J10" s="387" t="s">
        <v>98</v>
      </c>
      <c r="K10" s="387" t="s">
        <v>99</v>
      </c>
      <c r="L10" s="387" t="s">
        <v>100</v>
      </c>
      <c r="M10" s="387" t="s">
        <v>101</v>
      </c>
      <c r="N10" s="387" t="s">
        <v>102</v>
      </c>
      <c r="O10" s="387" t="s">
        <v>104</v>
      </c>
      <c r="P10" s="387" t="s">
        <v>103</v>
      </c>
      <c r="Q10" s="403"/>
      <c r="R10" s="390"/>
      <c r="S10" s="398"/>
      <c r="T10" s="391"/>
      <c r="U10" s="440"/>
      <c r="V10" s="441"/>
      <c r="W10" s="442"/>
    </row>
    <row r="11" spans="1:23" ht="31.9" customHeight="1" x14ac:dyDescent="0.25">
      <c r="A11" s="398"/>
      <c r="B11" s="401"/>
      <c r="C11" s="401"/>
      <c r="D11" s="427"/>
      <c r="E11" s="474"/>
      <c r="F11" s="475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03"/>
      <c r="R11" s="390"/>
      <c r="S11" s="398"/>
      <c r="T11" s="391"/>
      <c r="U11" s="152" t="s">
        <v>48</v>
      </c>
      <c r="V11" s="152" t="s">
        <v>49</v>
      </c>
      <c r="W11" s="85" t="s">
        <v>3</v>
      </c>
    </row>
    <row r="12" spans="1:23" ht="21" customHeight="1" x14ac:dyDescent="0.25">
      <c r="A12" s="174">
        <v>1</v>
      </c>
      <c r="B12" s="114" t="s">
        <v>379</v>
      </c>
      <c r="C12" s="114" t="s">
        <v>407</v>
      </c>
      <c r="D12" s="114" t="s">
        <v>32</v>
      </c>
      <c r="E12" s="384" t="s">
        <v>479</v>
      </c>
      <c r="F12" s="385"/>
      <c r="G12" s="161">
        <v>46</v>
      </c>
      <c r="H12" s="162">
        <v>18</v>
      </c>
      <c r="I12" s="161">
        <v>42</v>
      </c>
      <c r="J12" s="210">
        <v>34</v>
      </c>
      <c r="K12" s="161">
        <v>23</v>
      </c>
      <c r="L12" s="161">
        <v>20</v>
      </c>
      <c r="M12" s="215">
        <v>96</v>
      </c>
      <c r="N12" s="162">
        <v>74</v>
      </c>
      <c r="O12" s="162">
        <v>78</v>
      </c>
      <c r="P12" s="161">
        <v>95</v>
      </c>
      <c r="Q12" s="142">
        <f t="shared" ref="Q12:Q36" si="0">SUM(G12:P12)-W12</f>
        <v>525</v>
      </c>
      <c r="R12" s="124">
        <f>Q12/13.5</f>
        <v>38.888888888888886</v>
      </c>
      <c r="S12" s="125" t="str">
        <f t="shared" ref="S12:S37" si="1">IF(R12&gt;=50*0.9,"A",IF(R12&gt;=50*0.8,"B",IF(R12&gt;=50*0.7,"C",IF(R12&gt;=50*0.6,"D",IF(R12&gt;=50*0.5,"E",IF(Q12=0,"NA","F"))))))</f>
        <v>C</v>
      </c>
      <c r="T12" s="126">
        <f t="shared" ref="T12:T40" si="2">RANK(R12,$R$12:$R$40)</f>
        <v>11</v>
      </c>
      <c r="U12" s="161">
        <v>1</v>
      </c>
      <c r="V12" s="161">
        <v>0</v>
      </c>
      <c r="W12" s="163">
        <f t="shared" ref="W12:W40" si="3">SUM(U12:V12)</f>
        <v>1</v>
      </c>
    </row>
    <row r="13" spans="1:23" ht="21" customHeight="1" x14ac:dyDescent="0.25">
      <c r="A13" s="175">
        <v>2</v>
      </c>
      <c r="B13" s="114" t="s">
        <v>408</v>
      </c>
      <c r="C13" s="114" t="s">
        <v>409</v>
      </c>
      <c r="D13" s="114" t="s">
        <v>31</v>
      </c>
      <c r="E13" s="384" t="s">
        <v>480</v>
      </c>
      <c r="F13" s="385"/>
      <c r="G13" s="161">
        <v>47</v>
      </c>
      <c r="H13" s="162">
        <v>26</v>
      </c>
      <c r="I13" s="161">
        <v>26</v>
      </c>
      <c r="J13" s="210">
        <v>21</v>
      </c>
      <c r="K13" s="161">
        <v>24</v>
      </c>
      <c r="L13" s="161">
        <v>20</v>
      </c>
      <c r="M13" s="215">
        <v>82</v>
      </c>
      <c r="N13" s="162">
        <v>73</v>
      </c>
      <c r="O13" s="162">
        <v>70</v>
      </c>
      <c r="P13" s="161">
        <v>100</v>
      </c>
      <c r="Q13" s="224">
        <f t="shared" si="0"/>
        <v>481</v>
      </c>
      <c r="R13" s="128">
        <f t="shared" ref="R13:R40" si="4">Q13/13.5</f>
        <v>35.629629629629626</v>
      </c>
      <c r="S13" s="129" t="str">
        <f t="shared" si="1"/>
        <v>C</v>
      </c>
      <c r="T13" s="130">
        <f t="shared" si="2"/>
        <v>17</v>
      </c>
      <c r="U13" s="161">
        <v>6</v>
      </c>
      <c r="V13" s="161">
        <v>2</v>
      </c>
      <c r="W13" s="163">
        <f t="shared" si="3"/>
        <v>8</v>
      </c>
    </row>
    <row r="14" spans="1:23" ht="21" customHeight="1" x14ac:dyDescent="0.25">
      <c r="A14" s="174">
        <v>3</v>
      </c>
      <c r="B14" s="114" t="s">
        <v>481</v>
      </c>
      <c r="C14" s="114" t="s">
        <v>334</v>
      </c>
      <c r="D14" s="114" t="s">
        <v>32</v>
      </c>
      <c r="E14" s="384" t="s">
        <v>482</v>
      </c>
      <c r="F14" s="385"/>
      <c r="G14" s="161">
        <v>61</v>
      </c>
      <c r="H14" s="162">
        <v>13</v>
      </c>
      <c r="I14" s="161">
        <v>41</v>
      </c>
      <c r="J14" s="210">
        <v>27</v>
      </c>
      <c r="K14" s="161">
        <v>25</v>
      </c>
      <c r="L14" s="161">
        <v>20</v>
      </c>
      <c r="M14" s="215">
        <v>74</v>
      </c>
      <c r="N14" s="162">
        <v>87</v>
      </c>
      <c r="O14" s="162">
        <v>88</v>
      </c>
      <c r="P14" s="161">
        <v>101</v>
      </c>
      <c r="Q14" s="142">
        <f t="shared" si="0"/>
        <v>537</v>
      </c>
      <c r="R14" s="124">
        <f t="shared" si="4"/>
        <v>39.777777777777779</v>
      </c>
      <c r="S14" s="125" t="str">
        <f t="shared" si="1"/>
        <v>C</v>
      </c>
      <c r="T14" s="127">
        <f t="shared" si="2"/>
        <v>9</v>
      </c>
      <c r="U14" s="161">
        <v>0</v>
      </c>
      <c r="V14" s="161">
        <v>0</v>
      </c>
      <c r="W14" s="163">
        <f t="shared" si="3"/>
        <v>0</v>
      </c>
    </row>
    <row r="15" spans="1:23" ht="21" customHeight="1" x14ac:dyDescent="0.25">
      <c r="A15" s="175">
        <v>4</v>
      </c>
      <c r="B15" s="114" t="s">
        <v>410</v>
      </c>
      <c r="C15" s="114" t="s">
        <v>411</v>
      </c>
      <c r="D15" s="114" t="s">
        <v>32</v>
      </c>
      <c r="E15" s="384" t="s">
        <v>483</v>
      </c>
      <c r="F15" s="385"/>
      <c r="G15" s="161">
        <v>39</v>
      </c>
      <c r="H15" s="162">
        <v>38</v>
      </c>
      <c r="I15" s="161">
        <v>25</v>
      </c>
      <c r="J15" s="210">
        <v>46</v>
      </c>
      <c r="K15" s="161">
        <v>23</v>
      </c>
      <c r="L15" s="161">
        <v>20</v>
      </c>
      <c r="M15" s="215">
        <v>93</v>
      </c>
      <c r="N15" s="162">
        <v>83</v>
      </c>
      <c r="O15" s="162">
        <v>85</v>
      </c>
      <c r="P15" s="161">
        <v>109</v>
      </c>
      <c r="Q15" s="142">
        <f t="shared" si="0"/>
        <v>559</v>
      </c>
      <c r="R15" s="124">
        <f t="shared" si="4"/>
        <v>41.407407407407405</v>
      </c>
      <c r="S15" s="125" t="str">
        <f t="shared" si="1"/>
        <v>B</v>
      </c>
      <c r="T15" s="127">
        <f t="shared" si="2"/>
        <v>6</v>
      </c>
      <c r="U15" s="161">
        <v>2</v>
      </c>
      <c r="V15" s="161">
        <v>0</v>
      </c>
      <c r="W15" s="163">
        <f t="shared" si="3"/>
        <v>2</v>
      </c>
    </row>
    <row r="16" spans="1:23" ht="21" customHeight="1" x14ac:dyDescent="0.25">
      <c r="A16" s="174">
        <v>5</v>
      </c>
      <c r="B16" s="114" t="s">
        <v>484</v>
      </c>
      <c r="C16" s="114" t="s">
        <v>412</v>
      </c>
      <c r="D16" s="114" t="s">
        <v>31</v>
      </c>
      <c r="E16" s="384" t="s">
        <v>485</v>
      </c>
      <c r="F16" s="385"/>
      <c r="G16" s="161">
        <v>42</v>
      </c>
      <c r="H16" s="162">
        <v>38</v>
      </c>
      <c r="I16" s="161">
        <v>26</v>
      </c>
      <c r="J16" s="210">
        <v>41</v>
      </c>
      <c r="K16" s="161">
        <v>23</v>
      </c>
      <c r="L16" s="161">
        <v>20</v>
      </c>
      <c r="M16" s="215">
        <v>61</v>
      </c>
      <c r="N16" s="162">
        <v>72</v>
      </c>
      <c r="O16" s="162">
        <v>82</v>
      </c>
      <c r="P16" s="161">
        <v>100</v>
      </c>
      <c r="Q16" s="142">
        <f t="shared" si="0"/>
        <v>500</v>
      </c>
      <c r="R16" s="124">
        <f t="shared" si="4"/>
        <v>37.037037037037038</v>
      </c>
      <c r="S16" s="125" t="str">
        <f t="shared" si="1"/>
        <v>C</v>
      </c>
      <c r="T16" s="127">
        <f t="shared" si="2"/>
        <v>14</v>
      </c>
      <c r="U16" s="161">
        <v>2</v>
      </c>
      <c r="V16" s="161">
        <v>3</v>
      </c>
      <c r="W16" s="163">
        <f t="shared" si="3"/>
        <v>5</v>
      </c>
    </row>
    <row r="17" spans="1:23" ht="21" customHeight="1" x14ac:dyDescent="0.25">
      <c r="A17" s="175">
        <v>6</v>
      </c>
      <c r="B17" s="114" t="s">
        <v>105</v>
      </c>
      <c r="C17" s="114" t="s">
        <v>413</v>
      </c>
      <c r="D17" s="114" t="s">
        <v>32</v>
      </c>
      <c r="E17" s="384" t="s">
        <v>486</v>
      </c>
      <c r="F17" s="385"/>
      <c r="G17" s="161">
        <v>65</v>
      </c>
      <c r="H17" s="162">
        <v>18</v>
      </c>
      <c r="I17" s="161">
        <v>28</v>
      </c>
      <c r="J17" s="210">
        <v>3</v>
      </c>
      <c r="K17" s="161">
        <v>25</v>
      </c>
      <c r="L17" s="161">
        <v>20</v>
      </c>
      <c r="M17" s="215">
        <v>97</v>
      </c>
      <c r="N17" s="162">
        <v>72</v>
      </c>
      <c r="O17" s="162">
        <v>88</v>
      </c>
      <c r="P17" s="161">
        <v>100</v>
      </c>
      <c r="Q17" s="142">
        <f t="shared" si="0"/>
        <v>516</v>
      </c>
      <c r="R17" s="124">
        <f t="shared" si="4"/>
        <v>38.222222222222221</v>
      </c>
      <c r="S17" s="125" t="str">
        <f t="shared" si="1"/>
        <v>C</v>
      </c>
      <c r="T17" s="127">
        <f t="shared" si="2"/>
        <v>12</v>
      </c>
      <c r="U17" s="161">
        <v>0</v>
      </c>
      <c r="V17" s="161">
        <v>0</v>
      </c>
      <c r="W17" s="163">
        <f>SUM(U17:V17)</f>
        <v>0</v>
      </c>
    </row>
    <row r="18" spans="1:23" ht="21.75" customHeight="1" x14ac:dyDescent="0.25">
      <c r="A18" s="174">
        <v>7</v>
      </c>
      <c r="B18" s="172" t="s">
        <v>414</v>
      </c>
      <c r="C18" s="172" t="s">
        <v>174</v>
      </c>
      <c r="D18" s="172" t="s">
        <v>32</v>
      </c>
      <c r="E18" s="469" t="s">
        <v>487</v>
      </c>
      <c r="F18" s="470"/>
      <c r="G18" s="161">
        <v>53</v>
      </c>
      <c r="H18" s="162">
        <v>13</v>
      </c>
      <c r="I18" s="230">
        <v>25</v>
      </c>
      <c r="J18" s="210">
        <v>18</v>
      </c>
      <c r="K18" s="161">
        <v>24</v>
      </c>
      <c r="L18" s="161">
        <v>20</v>
      </c>
      <c r="M18" s="215">
        <v>67</v>
      </c>
      <c r="N18" s="229">
        <v>50</v>
      </c>
      <c r="O18" s="162">
        <v>60</v>
      </c>
      <c r="P18" s="161">
        <v>78</v>
      </c>
      <c r="Q18" s="142">
        <f t="shared" si="0"/>
        <v>407</v>
      </c>
      <c r="R18" s="124">
        <f t="shared" ref="R18" si="5">Q18/13.5</f>
        <v>30.148148148148149</v>
      </c>
      <c r="S18" s="125" t="str">
        <f t="shared" ref="S18" si="6">IF(R18&gt;=50*0.9,"A",IF(R18&gt;=50*0.8,"B",IF(R18&gt;=50*0.7,"C",IF(R18&gt;=50*0.6,"D",IF(R18&gt;=50*0.5,"E",IF(Q18=0,"NA","F"))))))</f>
        <v>D</v>
      </c>
      <c r="T18" s="127">
        <f t="shared" ref="T18" si="7">RANK(R18,$R$12:$R$40)</f>
        <v>26</v>
      </c>
      <c r="U18" s="161">
        <v>1</v>
      </c>
      <c r="V18" s="161">
        <v>0</v>
      </c>
      <c r="W18" s="173">
        <f t="shared" si="3"/>
        <v>1</v>
      </c>
    </row>
    <row r="19" spans="1:23" ht="21" customHeight="1" x14ac:dyDescent="0.25">
      <c r="A19" s="175">
        <v>8</v>
      </c>
      <c r="B19" s="114" t="s">
        <v>415</v>
      </c>
      <c r="C19" s="114" t="s">
        <v>416</v>
      </c>
      <c r="D19" s="114" t="s">
        <v>32</v>
      </c>
      <c r="E19" s="384" t="s">
        <v>488</v>
      </c>
      <c r="F19" s="385"/>
      <c r="G19" s="161">
        <v>50</v>
      </c>
      <c r="H19" s="162">
        <v>18</v>
      </c>
      <c r="I19" s="161">
        <v>25</v>
      </c>
      <c r="J19" s="210">
        <v>3</v>
      </c>
      <c r="K19" s="161">
        <v>25</v>
      </c>
      <c r="L19" s="161">
        <v>20</v>
      </c>
      <c r="M19" s="215">
        <v>71</v>
      </c>
      <c r="N19" s="162">
        <v>56</v>
      </c>
      <c r="O19" s="162">
        <v>75</v>
      </c>
      <c r="P19" s="161">
        <v>88</v>
      </c>
      <c r="Q19" s="142">
        <f t="shared" si="0"/>
        <v>431</v>
      </c>
      <c r="R19" s="124">
        <f t="shared" si="4"/>
        <v>31.925925925925927</v>
      </c>
      <c r="S19" s="125" t="str">
        <f t="shared" si="1"/>
        <v>D</v>
      </c>
      <c r="T19" s="127">
        <f t="shared" si="2"/>
        <v>24</v>
      </c>
      <c r="U19" s="161">
        <v>0</v>
      </c>
      <c r="V19" s="161">
        <v>0</v>
      </c>
      <c r="W19" s="163">
        <f t="shared" si="3"/>
        <v>0</v>
      </c>
    </row>
    <row r="20" spans="1:23" ht="23.25" customHeight="1" x14ac:dyDescent="0.25">
      <c r="A20" s="174">
        <v>9</v>
      </c>
      <c r="B20" s="114" t="s">
        <v>132</v>
      </c>
      <c r="C20" s="114" t="s">
        <v>393</v>
      </c>
      <c r="D20" s="114" t="s">
        <v>32</v>
      </c>
      <c r="E20" s="384" t="s">
        <v>489</v>
      </c>
      <c r="F20" s="385"/>
      <c r="G20" s="161">
        <v>55</v>
      </c>
      <c r="H20" s="162">
        <v>18</v>
      </c>
      <c r="I20" s="161">
        <v>36</v>
      </c>
      <c r="J20" s="210">
        <v>45</v>
      </c>
      <c r="K20" s="161">
        <v>25</v>
      </c>
      <c r="L20" s="161">
        <v>20</v>
      </c>
      <c r="M20" s="215">
        <v>94</v>
      </c>
      <c r="N20" s="162">
        <v>82</v>
      </c>
      <c r="O20" s="162">
        <v>84</v>
      </c>
      <c r="P20" s="161">
        <v>88</v>
      </c>
      <c r="Q20" s="224">
        <f t="shared" si="0"/>
        <v>543</v>
      </c>
      <c r="R20" s="128">
        <f t="shared" si="4"/>
        <v>40.222222222222221</v>
      </c>
      <c r="S20" s="129" t="str">
        <f t="shared" si="1"/>
        <v>B</v>
      </c>
      <c r="T20" s="130">
        <f t="shared" si="2"/>
        <v>8</v>
      </c>
      <c r="U20" s="161">
        <v>4</v>
      </c>
      <c r="V20" s="161">
        <v>0</v>
      </c>
      <c r="W20" s="163">
        <f t="shared" si="3"/>
        <v>4</v>
      </c>
    </row>
    <row r="21" spans="1:23" ht="21" customHeight="1" x14ac:dyDescent="0.25">
      <c r="A21" s="175">
        <v>10</v>
      </c>
      <c r="B21" s="114" t="s">
        <v>133</v>
      </c>
      <c r="C21" s="114" t="s">
        <v>417</v>
      </c>
      <c r="D21" s="114" t="s">
        <v>31</v>
      </c>
      <c r="E21" s="384" t="s">
        <v>490</v>
      </c>
      <c r="F21" s="385"/>
      <c r="G21" s="161">
        <v>67</v>
      </c>
      <c r="H21" s="162">
        <v>45</v>
      </c>
      <c r="I21" s="161">
        <v>28</v>
      </c>
      <c r="J21" s="210">
        <v>43</v>
      </c>
      <c r="K21" s="161">
        <v>25</v>
      </c>
      <c r="L21" s="161">
        <v>20</v>
      </c>
      <c r="M21" s="215">
        <v>50</v>
      </c>
      <c r="N21" s="162">
        <v>98</v>
      </c>
      <c r="O21" s="162">
        <v>100</v>
      </c>
      <c r="P21" s="161">
        <v>98</v>
      </c>
      <c r="Q21" s="142">
        <f t="shared" si="0"/>
        <v>568</v>
      </c>
      <c r="R21" s="124">
        <f t="shared" si="4"/>
        <v>42.074074074074076</v>
      </c>
      <c r="S21" s="125" t="str">
        <f t="shared" si="1"/>
        <v>B</v>
      </c>
      <c r="T21" s="127">
        <f t="shared" si="2"/>
        <v>4</v>
      </c>
      <c r="U21" s="161">
        <v>6</v>
      </c>
      <c r="V21" s="161">
        <v>0</v>
      </c>
      <c r="W21" s="163">
        <f t="shared" si="3"/>
        <v>6</v>
      </c>
    </row>
    <row r="22" spans="1:23" ht="21" customHeight="1" x14ac:dyDescent="0.25">
      <c r="A22" s="174">
        <v>11</v>
      </c>
      <c r="B22" s="114" t="s">
        <v>418</v>
      </c>
      <c r="C22" s="114" t="s">
        <v>419</v>
      </c>
      <c r="D22" s="114" t="s">
        <v>32</v>
      </c>
      <c r="E22" s="384" t="s">
        <v>491</v>
      </c>
      <c r="F22" s="385"/>
      <c r="G22" s="161">
        <v>25</v>
      </c>
      <c r="H22" s="162">
        <v>2</v>
      </c>
      <c r="I22" s="161">
        <v>33</v>
      </c>
      <c r="J22" s="210">
        <v>21</v>
      </c>
      <c r="K22" s="161">
        <v>22</v>
      </c>
      <c r="L22" s="161">
        <v>20</v>
      </c>
      <c r="M22" s="215">
        <v>89</v>
      </c>
      <c r="N22" s="162">
        <v>46</v>
      </c>
      <c r="O22" s="162">
        <v>86</v>
      </c>
      <c r="P22" s="161">
        <v>92</v>
      </c>
      <c r="Q22" s="142">
        <f t="shared" si="0"/>
        <v>432</v>
      </c>
      <c r="R22" s="124">
        <f t="shared" si="4"/>
        <v>32</v>
      </c>
      <c r="S22" s="125" t="str">
        <f t="shared" si="1"/>
        <v>D</v>
      </c>
      <c r="T22" s="127">
        <f t="shared" si="2"/>
        <v>23</v>
      </c>
      <c r="U22" s="161">
        <v>4</v>
      </c>
      <c r="V22" s="161">
        <v>0</v>
      </c>
      <c r="W22" s="163">
        <f t="shared" si="3"/>
        <v>4</v>
      </c>
    </row>
    <row r="23" spans="1:23" ht="21" customHeight="1" x14ac:dyDescent="0.25">
      <c r="A23" s="175">
        <v>12</v>
      </c>
      <c r="B23" s="114" t="s">
        <v>420</v>
      </c>
      <c r="C23" s="114" t="s">
        <v>421</v>
      </c>
      <c r="D23" s="114" t="s">
        <v>31</v>
      </c>
      <c r="E23" s="384" t="s">
        <v>492</v>
      </c>
      <c r="F23" s="385"/>
      <c r="G23" s="161">
        <v>41</v>
      </c>
      <c r="H23" s="162">
        <v>38</v>
      </c>
      <c r="I23" s="161">
        <v>20</v>
      </c>
      <c r="J23" s="210">
        <v>34</v>
      </c>
      <c r="K23" s="161">
        <v>24</v>
      </c>
      <c r="L23" s="161">
        <v>20</v>
      </c>
      <c r="M23" s="215">
        <v>65</v>
      </c>
      <c r="N23" s="162">
        <v>64</v>
      </c>
      <c r="O23" s="162">
        <v>70</v>
      </c>
      <c r="P23" s="161">
        <v>92</v>
      </c>
      <c r="Q23" s="142">
        <f t="shared" si="0"/>
        <v>468</v>
      </c>
      <c r="R23" s="124">
        <f t="shared" si="4"/>
        <v>34.666666666666664</v>
      </c>
      <c r="S23" s="125" t="str">
        <f t="shared" si="1"/>
        <v>D</v>
      </c>
      <c r="T23" s="127">
        <f t="shared" si="2"/>
        <v>20</v>
      </c>
      <c r="U23" s="161">
        <v>0</v>
      </c>
      <c r="V23" s="161">
        <v>0</v>
      </c>
      <c r="W23" s="163">
        <f t="shared" si="3"/>
        <v>0</v>
      </c>
    </row>
    <row r="24" spans="1:23" ht="21" customHeight="1" x14ac:dyDescent="0.25">
      <c r="A24" s="174">
        <v>13</v>
      </c>
      <c r="B24" s="114" t="s">
        <v>422</v>
      </c>
      <c r="C24" s="114" t="s">
        <v>411</v>
      </c>
      <c r="D24" s="114" t="s">
        <v>32</v>
      </c>
      <c r="E24" s="384" t="s">
        <v>493</v>
      </c>
      <c r="F24" s="385"/>
      <c r="G24" s="161">
        <v>55</v>
      </c>
      <c r="H24" s="162">
        <v>6</v>
      </c>
      <c r="I24" s="161">
        <v>26</v>
      </c>
      <c r="J24" s="210">
        <v>28</v>
      </c>
      <c r="K24" s="161">
        <v>20</v>
      </c>
      <c r="L24" s="161">
        <v>20</v>
      </c>
      <c r="M24" s="215">
        <v>83</v>
      </c>
      <c r="N24" s="162">
        <v>73</v>
      </c>
      <c r="O24" s="162">
        <v>73</v>
      </c>
      <c r="P24" s="161">
        <v>97</v>
      </c>
      <c r="Q24" s="224">
        <f t="shared" si="0"/>
        <v>481</v>
      </c>
      <c r="R24" s="128">
        <f t="shared" si="4"/>
        <v>35.629629629629626</v>
      </c>
      <c r="S24" s="129" t="str">
        <f t="shared" si="1"/>
        <v>C</v>
      </c>
      <c r="T24" s="130">
        <f t="shared" si="2"/>
        <v>17</v>
      </c>
      <c r="U24" s="161">
        <v>0</v>
      </c>
      <c r="V24" s="161">
        <v>0</v>
      </c>
      <c r="W24" s="163">
        <f t="shared" si="3"/>
        <v>0</v>
      </c>
    </row>
    <row r="25" spans="1:23" ht="21" customHeight="1" x14ac:dyDescent="0.25">
      <c r="A25" s="175">
        <v>14</v>
      </c>
      <c r="B25" s="114" t="s">
        <v>423</v>
      </c>
      <c r="C25" s="114" t="s">
        <v>424</v>
      </c>
      <c r="D25" s="114" t="s">
        <v>32</v>
      </c>
      <c r="E25" s="384" t="s">
        <v>494</v>
      </c>
      <c r="F25" s="385"/>
      <c r="G25" s="161">
        <v>46</v>
      </c>
      <c r="H25" s="162">
        <v>18</v>
      </c>
      <c r="I25" s="161">
        <v>20</v>
      </c>
      <c r="J25" s="210">
        <v>35</v>
      </c>
      <c r="K25" s="161">
        <v>23</v>
      </c>
      <c r="L25" s="161">
        <v>20</v>
      </c>
      <c r="M25" s="215">
        <v>93</v>
      </c>
      <c r="N25" s="162">
        <v>51</v>
      </c>
      <c r="O25" s="162">
        <v>79</v>
      </c>
      <c r="P25" s="161">
        <v>100</v>
      </c>
      <c r="Q25" s="142">
        <f t="shared" si="0"/>
        <v>485</v>
      </c>
      <c r="R25" s="131">
        <f t="shared" si="4"/>
        <v>35.925925925925924</v>
      </c>
      <c r="S25" s="132" t="str">
        <f t="shared" si="1"/>
        <v>C</v>
      </c>
      <c r="T25" s="127">
        <f t="shared" si="2"/>
        <v>15</v>
      </c>
      <c r="U25" s="161">
        <v>0</v>
      </c>
      <c r="V25" s="161">
        <v>0</v>
      </c>
      <c r="W25" s="163">
        <f t="shared" si="3"/>
        <v>0</v>
      </c>
    </row>
    <row r="26" spans="1:23" ht="21" customHeight="1" x14ac:dyDescent="0.25">
      <c r="A26" s="174">
        <v>15</v>
      </c>
      <c r="B26" s="114" t="s">
        <v>123</v>
      </c>
      <c r="C26" s="114" t="s">
        <v>445</v>
      </c>
      <c r="D26" s="114" t="s">
        <v>31</v>
      </c>
      <c r="E26" s="384" t="s">
        <v>495</v>
      </c>
      <c r="F26" s="385"/>
      <c r="G26" s="161">
        <v>58</v>
      </c>
      <c r="H26" s="162">
        <v>45</v>
      </c>
      <c r="I26" s="161">
        <v>28</v>
      </c>
      <c r="J26" s="210">
        <v>37</v>
      </c>
      <c r="K26" s="161">
        <v>24</v>
      </c>
      <c r="L26" s="161">
        <v>20</v>
      </c>
      <c r="M26" s="215">
        <v>95</v>
      </c>
      <c r="N26" s="162">
        <v>88</v>
      </c>
      <c r="O26" s="162">
        <v>80</v>
      </c>
      <c r="P26" s="161">
        <v>100</v>
      </c>
      <c r="Q26" s="224">
        <f t="shared" si="0"/>
        <v>575</v>
      </c>
      <c r="R26" s="128">
        <f t="shared" si="4"/>
        <v>42.592592592592595</v>
      </c>
      <c r="S26" s="129" t="str">
        <f t="shared" si="1"/>
        <v>B</v>
      </c>
      <c r="T26" s="130">
        <f t="shared" si="2"/>
        <v>1</v>
      </c>
      <c r="U26" s="161">
        <v>0</v>
      </c>
      <c r="V26" s="161">
        <v>0</v>
      </c>
      <c r="W26" s="163">
        <f t="shared" si="3"/>
        <v>0</v>
      </c>
    </row>
    <row r="27" spans="1:23" ht="21" customHeight="1" x14ac:dyDescent="0.25">
      <c r="A27" s="175">
        <v>16</v>
      </c>
      <c r="B27" s="114" t="s">
        <v>162</v>
      </c>
      <c r="C27" s="114" t="s">
        <v>425</v>
      </c>
      <c r="D27" s="114" t="s">
        <v>31</v>
      </c>
      <c r="E27" s="384" t="s">
        <v>487</v>
      </c>
      <c r="F27" s="385"/>
      <c r="G27" s="161">
        <v>56</v>
      </c>
      <c r="H27" s="162">
        <v>45</v>
      </c>
      <c r="I27" s="161">
        <v>33</v>
      </c>
      <c r="J27" s="210">
        <v>23</v>
      </c>
      <c r="K27" s="161">
        <v>22</v>
      </c>
      <c r="L27" s="161">
        <v>20</v>
      </c>
      <c r="M27" s="215">
        <v>91</v>
      </c>
      <c r="N27" s="162">
        <v>85</v>
      </c>
      <c r="O27" s="162">
        <v>90</v>
      </c>
      <c r="P27" s="161">
        <v>102</v>
      </c>
      <c r="Q27" s="224">
        <f t="shared" si="0"/>
        <v>566</v>
      </c>
      <c r="R27" s="128">
        <f t="shared" si="4"/>
        <v>41.925925925925924</v>
      </c>
      <c r="S27" s="129" t="str">
        <f t="shared" si="1"/>
        <v>B</v>
      </c>
      <c r="T27" s="130">
        <f t="shared" si="2"/>
        <v>5</v>
      </c>
      <c r="U27" s="161">
        <v>1</v>
      </c>
      <c r="V27" s="161">
        <v>0</v>
      </c>
      <c r="W27" s="163">
        <f t="shared" si="3"/>
        <v>1</v>
      </c>
    </row>
    <row r="28" spans="1:23" ht="21" customHeight="1" x14ac:dyDescent="0.25">
      <c r="A28" s="174">
        <v>17</v>
      </c>
      <c r="B28" s="114" t="s">
        <v>291</v>
      </c>
      <c r="C28" s="114" t="s">
        <v>426</v>
      </c>
      <c r="D28" s="114" t="s">
        <v>31</v>
      </c>
      <c r="E28" s="384" t="s">
        <v>496</v>
      </c>
      <c r="F28" s="385"/>
      <c r="G28" s="161">
        <v>63</v>
      </c>
      <c r="H28" s="162">
        <v>45</v>
      </c>
      <c r="I28" s="161">
        <v>20</v>
      </c>
      <c r="J28" s="210">
        <v>18</v>
      </c>
      <c r="K28" s="161">
        <v>24</v>
      </c>
      <c r="L28" s="161">
        <v>20</v>
      </c>
      <c r="M28" s="215">
        <v>83</v>
      </c>
      <c r="N28" s="162">
        <v>71</v>
      </c>
      <c r="O28" s="162">
        <v>88</v>
      </c>
      <c r="P28" s="161">
        <v>103</v>
      </c>
      <c r="Q28" s="224">
        <f t="shared" si="0"/>
        <v>535</v>
      </c>
      <c r="R28" s="128">
        <f t="shared" si="4"/>
        <v>39.629629629629626</v>
      </c>
      <c r="S28" s="129" t="str">
        <f t="shared" si="1"/>
        <v>C</v>
      </c>
      <c r="T28" s="130">
        <f t="shared" si="2"/>
        <v>10</v>
      </c>
      <c r="U28" s="161">
        <v>0</v>
      </c>
      <c r="V28" s="161">
        <v>0</v>
      </c>
      <c r="W28" s="163">
        <f t="shared" si="3"/>
        <v>0</v>
      </c>
    </row>
    <row r="29" spans="1:23" ht="21" customHeight="1" x14ac:dyDescent="0.25">
      <c r="A29" s="175">
        <v>18</v>
      </c>
      <c r="B29" s="114" t="s">
        <v>427</v>
      </c>
      <c r="C29" s="114" t="s">
        <v>428</v>
      </c>
      <c r="D29" s="114" t="s">
        <v>32</v>
      </c>
      <c r="E29" s="384" t="s">
        <v>497</v>
      </c>
      <c r="F29" s="385"/>
      <c r="G29" s="161">
        <v>54</v>
      </c>
      <c r="H29" s="162">
        <v>18</v>
      </c>
      <c r="I29" s="161">
        <v>25</v>
      </c>
      <c r="J29" s="210">
        <v>45</v>
      </c>
      <c r="K29" s="161">
        <v>24</v>
      </c>
      <c r="L29" s="161">
        <v>20</v>
      </c>
      <c r="M29" s="215">
        <v>72</v>
      </c>
      <c r="N29" s="162">
        <v>61</v>
      </c>
      <c r="O29" s="162">
        <v>84</v>
      </c>
      <c r="P29" s="161">
        <v>100</v>
      </c>
      <c r="Q29" s="224">
        <f t="shared" si="0"/>
        <v>503</v>
      </c>
      <c r="R29" s="128">
        <f t="shared" si="4"/>
        <v>37.25925925925926</v>
      </c>
      <c r="S29" s="129" t="str">
        <f t="shared" si="1"/>
        <v>C</v>
      </c>
      <c r="T29" s="130">
        <f t="shared" si="2"/>
        <v>13</v>
      </c>
      <c r="U29" s="161">
        <v>0</v>
      </c>
      <c r="V29" s="161">
        <v>0</v>
      </c>
      <c r="W29" s="163">
        <f t="shared" si="3"/>
        <v>0</v>
      </c>
    </row>
    <row r="30" spans="1:23" ht="21" customHeight="1" x14ac:dyDescent="0.25">
      <c r="A30" s="174">
        <v>19</v>
      </c>
      <c r="B30" s="114" t="s">
        <v>106</v>
      </c>
      <c r="C30" s="114" t="s">
        <v>429</v>
      </c>
      <c r="D30" s="114" t="s">
        <v>32</v>
      </c>
      <c r="E30" s="384" t="s">
        <v>498</v>
      </c>
      <c r="F30" s="385"/>
      <c r="G30" s="161">
        <v>46</v>
      </c>
      <c r="H30" s="162">
        <v>18</v>
      </c>
      <c r="I30" s="161">
        <v>20</v>
      </c>
      <c r="J30" s="210">
        <v>3</v>
      </c>
      <c r="K30" s="161">
        <v>0</v>
      </c>
      <c r="L30" s="161">
        <v>20</v>
      </c>
      <c r="M30" s="215">
        <v>65</v>
      </c>
      <c r="N30" s="162">
        <v>57</v>
      </c>
      <c r="O30" s="162">
        <v>70</v>
      </c>
      <c r="P30" s="161">
        <v>83</v>
      </c>
      <c r="Q30" s="224">
        <f t="shared" si="0"/>
        <v>377</v>
      </c>
      <c r="R30" s="128">
        <f t="shared" si="4"/>
        <v>27.925925925925927</v>
      </c>
      <c r="S30" s="129" t="str">
        <f t="shared" si="1"/>
        <v>E</v>
      </c>
      <c r="T30" s="130">
        <f t="shared" si="2"/>
        <v>28</v>
      </c>
      <c r="U30" s="161">
        <v>2</v>
      </c>
      <c r="V30" s="161">
        <v>3</v>
      </c>
      <c r="W30" s="163">
        <f t="shared" si="3"/>
        <v>5</v>
      </c>
    </row>
    <row r="31" spans="1:23" ht="21" customHeight="1" x14ac:dyDescent="0.25">
      <c r="A31" s="175">
        <v>20</v>
      </c>
      <c r="B31" s="114" t="s">
        <v>117</v>
      </c>
      <c r="C31" s="114" t="s">
        <v>430</v>
      </c>
      <c r="D31" s="114" t="s">
        <v>31</v>
      </c>
      <c r="E31" s="384" t="s">
        <v>499</v>
      </c>
      <c r="F31" s="385"/>
      <c r="G31" s="161">
        <v>59</v>
      </c>
      <c r="H31" s="162">
        <v>45</v>
      </c>
      <c r="I31" s="161">
        <v>32</v>
      </c>
      <c r="J31" s="210">
        <v>36</v>
      </c>
      <c r="K31" s="161">
        <v>25</v>
      </c>
      <c r="L31" s="161">
        <v>20</v>
      </c>
      <c r="M31" s="215">
        <v>82</v>
      </c>
      <c r="N31" s="162">
        <v>90</v>
      </c>
      <c r="O31" s="162">
        <v>83</v>
      </c>
      <c r="P31" s="161">
        <v>106</v>
      </c>
      <c r="Q31" s="224">
        <f t="shared" si="0"/>
        <v>575</v>
      </c>
      <c r="R31" s="128">
        <f t="shared" si="4"/>
        <v>42.592592592592595</v>
      </c>
      <c r="S31" s="129" t="str">
        <f t="shared" si="1"/>
        <v>B</v>
      </c>
      <c r="T31" s="130">
        <f t="shared" si="2"/>
        <v>1</v>
      </c>
      <c r="U31" s="161">
        <v>3</v>
      </c>
      <c r="V31" s="161">
        <v>0</v>
      </c>
      <c r="W31" s="163">
        <f t="shared" si="3"/>
        <v>3</v>
      </c>
    </row>
    <row r="32" spans="1:23" ht="21" customHeight="1" x14ac:dyDescent="0.25">
      <c r="A32" s="174">
        <v>21</v>
      </c>
      <c r="B32" s="114" t="s">
        <v>117</v>
      </c>
      <c r="C32" s="114" t="s">
        <v>431</v>
      </c>
      <c r="D32" s="114" t="s">
        <v>32</v>
      </c>
      <c r="E32" s="384" t="s">
        <v>500</v>
      </c>
      <c r="F32" s="385"/>
      <c r="G32" s="161">
        <v>45</v>
      </c>
      <c r="H32" s="162">
        <v>18</v>
      </c>
      <c r="I32" s="161">
        <v>20</v>
      </c>
      <c r="J32" s="210">
        <v>3</v>
      </c>
      <c r="K32" s="161">
        <v>24</v>
      </c>
      <c r="L32" s="161">
        <v>20</v>
      </c>
      <c r="M32" s="215">
        <v>75</v>
      </c>
      <c r="N32" s="162">
        <v>89</v>
      </c>
      <c r="O32" s="162">
        <v>84</v>
      </c>
      <c r="P32" s="161">
        <v>99</v>
      </c>
      <c r="Q32" s="224">
        <f t="shared" si="0"/>
        <v>476</v>
      </c>
      <c r="R32" s="128">
        <f t="shared" si="4"/>
        <v>35.25925925925926</v>
      </c>
      <c r="S32" s="129" t="str">
        <f t="shared" si="1"/>
        <v>C</v>
      </c>
      <c r="T32" s="130">
        <f t="shared" si="2"/>
        <v>19</v>
      </c>
      <c r="U32" s="161">
        <v>1</v>
      </c>
      <c r="V32" s="161">
        <v>0</v>
      </c>
      <c r="W32" s="163">
        <f t="shared" si="3"/>
        <v>1</v>
      </c>
    </row>
    <row r="33" spans="1:23" ht="21" customHeight="1" x14ac:dyDescent="0.25">
      <c r="A33" s="175">
        <v>22</v>
      </c>
      <c r="B33" s="114" t="s">
        <v>135</v>
      </c>
      <c r="C33" s="114" t="s">
        <v>447</v>
      </c>
      <c r="D33" s="114" t="s">
        <v>32</v>
      </c>
      <c r="E33" s="384" t="s">
        <v>501</v>
      </c>
      <c r="F33" s="385"/>
      <c r="G33" s="161">
        <v>51</v>
      </c>
      <c r="H33" s="162">
        <v>18</v>
      </c>
      <c r="I33" s="161">
        <v>22</v>
      </c>
      <c r="J33" s="210">
        <v>19</v>
      </c>
      <c r="K33" s="161">
        <v>23</v>
      </c>
      <c r="L33" s="161">
        <v>20</v>
      </c>
      <c r="M33" s="215">
        <v>58</v>
      </c>
      <c r="N33" s="162">
        <v>67</v>
      </c>
      <c r="O33" s="162">
        <v>76</v>
      </c>
      <c r="P33" s="161">
        <v>93</v>
      </c>
      <c r="Q33" s="224">
        <f t="shared" ref="Q33" si="8">SUM(G33:P33)-W33</f>
        <v>447</v>
      </c>
      <c r="R33" s="128">
        <f t="shared" ref="R33" si="9">Q33/13.5</f>
        <v>33.111111111111114</v>
      </c>
      <c r="S33" s="129" t="str">
        <f t="shared" ref="S33" si="10">IF(R33&gt;=50*0.9,"A",IF(R33&gt;=50*0.8,"B",IF(R33&gt;=50*0.7,"C",IF(R33&gt;=50*0.6,"D",IF(R33&gt;=50*0.5,"E",IF(Q33=0,"NA","F"))))))</f>
        <v>D</v>
      </c>
      <c r="T33" s="130">
        <f t="shared" si="2"/>
        <v>21</v>
      </c>
      <c r="U33" s="161">
        <v>0</v>
      </c>
      <c r="V33" s="161">
        <v>0</v>
      </c>
      <c r="W33" s="163">
        <f t="shared" si="3"/>
        <v>0</v>
      </c>
    </row>
    <row r="34" spans="1:23" ht="21" customHeight="1" x14ac:dyDescent="0.25">
      <c r="A34" s="174">
        <v>23</v>
      </c>
      <c r="B34" s="114" t="s">
        <v>432</v>
      </c>
      <c r="C34" s="114" t="s">
        <v>433</v>
      </c>
      <c r="D34" s="114" t="s">
        <v>32</v>
      </c>
      <c r="E34" s="384" t="s">
        <v>502</v>
      </c>
      <c r="F34" s="385"/>
      <c r="G34" s="161">
        <v>35</v>
      </c>
      <c r="H34" s="162">
        <v>2</v>
      </c>
      <c r="I34" s="161">
        <v>20</v>
      </c>
      <c r="J34" s="210">
        <v>3</v>
      </c>
      <c r="K34" s="161">
        <v>22</v>
      </c>
      <c r="L34" s="161">
        <v>20</v>
      </c>
      <c r="M34" s="215">
        <v>61</v>
      </c>
      <c r="N34" s="162">
        <v>49</v>
      </c>
      <c r="O34" s="162">
        <v>75</v>
      </c>
      <c r="P34" s="161">
        <v>94</v>
      </c>
      <c r="Q34" s="224">
        <f t="shared" si="0"/>
        <v>378</v>
      </c>
      <c r="R34" s="128">
        <f t="shared" si="4"/>
        <v>28</v>
      </c>
      <c r="S34" s="129" t="str">
        <f t="shared" si="1"/>
        <v>E</v>
      </c>
      <c r="T34" s="130">
        <f t="shared" si="2"/>
        <v>27</v>
      </c>
      <c r="U34" s="161">
        <v>3</v>
      </c>
      <c r="V34" s="161">
        <v>0</v>
      </c>
      <c r="W34" s="163">
        <f t="shared" si="3"/>
        <v>3</v>
      </c>
    </row>
    <row r="35" spans="1:23" ht="21" customHeight="1" x14ac:dyDescent="0.25">
      <c r="A35" s="175">
        <v>24</v>
      </c>
      <c r="B35" s="114" t="s">
        <v>434</v>
      </c>
      <c r="C35" s="114" t="s">
        <v>435</v>
      </c>
      <c r="D35" s="114" t="s">
        <v>31</v>
      </c>
      <c r="E35" s="384" t="s">
        <v>503</v>
      </c>
      <c r="F35" s="385"/>
      <c r="G35" s="161">
        <v>51</v>
      </c>
      <c r="H35" s="162">
        <v>41</v>
      </c>
      <c r="I35" s="161">
        <v>23</v>
      </c>
      <c r="J35" s="210">
        <v>42</v>
      </c>
      <c r="K35" s="161">
        <v>22</v>
      </c>
      <c r="L35" s="161">
        <v>20</v>
      </c>
      <c r="M35" s="215">
        <v>93</v>
      </c>
      <c r="N35" s="162">
        <v>99</v>
      </c>
      <c r="O35" s="162">
        <v>87</v>
      </c>
      <c r="P35" s="161">
        <v>95</v>
      </c>
      <c r="Q35" s="142">
        <f t="shared" si="0"/>
        <v>572</v>
      </c>
      <c r="R35" s="124">
        <f t="shared" si="4"/>
        <v>42.370370370370374</v>
      </c>
      <c r="S35" s="125" t="str">
        <f t="shared" si="1"/>
        <v>B</v>
      </c>
      <c r="T35" s="127">
        <f t="shared" si="2"/>
        <v>3</v>
      </c>
      <c r="U35" s="161">
        <v>1</v>
      </c>
      <c r="V35" s="161">
        <v>0</v>
      </c>
      <c r="W35" s="163">
        <f t="shared" si="3"/>
        <v>1</v>
      </c>
    </row>
    <row r="36" spans="1:23" ht="21" customHeight="1" x14ac:dyDescent="0.25">
      <c r="A36" s="174">
        <v>25</v>
      </c>
      <c r="B36" s="114" t="s">
        <v>436</v>
      </c>
      <c r="C36" s="114" t="s">
        <v>437</v>
      </c>
      <c r="D36" s="114" t="s">
        <v>32</v>
      </c>
      <c r="E36" s="384" t="s">
        <v>504</v>
      </c>
      <c r="F36" s="385"/>
      <c r="G36" s="161">
        <v>64</v>
      </c>
      <c r="H36" s="162">
        <v>2</v>
      </c>
      <c r="I36" s="161">
        <v>40</v>
      </c>
      <c r="J36" s="210">
        <v>26</v>
      </c>
      <c r="K36" s="161">
        <v>24</v>
      </c>
      <c r="L36" s="161">
        <v>20</v>
      </c>
      <c r="M36" s="215">
        <v>95</v>
      </c>
      <c r="N36" s="162">
        <v>88</v>
      </c>
      <c r="O36" s="162">
        <v>91</v>
      </c>
      <c r="P36" s="161">
        <v>101</v>
      </c>
      <c r="Q36" s="142">
        <f t="shared" si="0"/>
        <v>551</v>
      </c>
      <c r="R36" s="124">
        <f t="shared" si="4"/>
        <v>40.814814814814817</v>
      </c>
      <c r="S36" s="125" t="str">
        <f t="shared" si="1"/>
        <v>B</v>
      </c>
      <c r="T36" s="127">
        <f t="shared" si="2"/>
        <v>7</v>
      </c>
      <c r="U36" s="161">
        <v>0</v>
      </c>
      <c r="V36" s="161">
        <v>0</v>
      </c>
      <c r="W36" s="163">
        <f t="shared" si="3"/>
        <v>0</v>
      </c>
    </row>
    <row r="37" spans="1:23" ht="21.75" customHeight="1" x14ac:dyDescent="0.25">
      <c r="A37" s="175">
        <v>26</v>
      </c>
      <c r="B37" s="114" t="s">
        <v>118</v>
      </c>
      <c r="C37" s="114" t="s">
        <v>438</v>
      </c>
      <c r="D37" s="114" t="s">
        <v>32</v>
      </c>
      <c r="E37" s="384" t="s">
        <v>505</v>
      </c>
      <c r="F37" s="385"/>
      <c r="G37" s="161">
        <v>26</v>
      </c>
      <c r="H37" s="162">
        <v>18</v>
      </c>
      <c r="I37" s="161">
        <v>20</v>
      </c>
      <c r="J37" s="210">
        <v>43</v>
      </c>
      <c r="K37" s="161">
        <v>24</v>
      </c>
      <c r="L37" s="161">
        <v>20</v>
      </c>
      <c r="M37" s="215">
        <v>88</v>
      </c>
      <c r="N37" s="162">
        <v>50</v>
      </c>
      <c r="O37" s="162">
        <v>63</v>
      </c>
      <c r="P37" s="161">
        <v>80</v>
      </c>
      <c r="Q37" s="142">
        <f>SUM(G37:P37)-W37</f>
        <v>431</v>
      </c>
      <c r="R37" s="131">
        <f t="shared" si="4"/>
        <v>31.925925925925927</v>
      </c>
      <c r="S37" s="132" t="str">
        <f t="shared" si="1"/>
        <v>D</v>
      </c>
      <c r="T37" s="127">
        <f t="shared" si="2"/>
        <v>24</v>
      </c>
      <c r="U37" s="161">
        <v>1</v>
      </c>
      <c r="V37" s="161">
        <v>0</v>
      </c>
      <c r="W37" s="163">
        <f t="shared" si="3"/>
        <v>1</v>
      </c>
    </row>
    <row r="38" spans="1:23" ht="21" customHeight="1" x14ac:dyDescent="0.25">
      <c r="A38" s="174">
        <v>27</v>
      </c>
      <c r="B38" s="114" t="s">
        <v>439</v>
      </c>
      <c r="C38" s="114" t="s">
        <v>440</v>
      </c>
      <c r="D38" s="114" t="s">
        <v>32</v>
      </c>
      <c r="E38" s="384" t="s">
        <v>506</v>
      </c>
      <c r="F38" s="385"/>
      <c r="G38" s="161">
        <v>46</v>
      </c>
      <c r="H38" s="162">
        <v>18</v>
      </c>
      <c r="I38" s="161">
        <v>30</v>
      </c>
      <c r="J38" s="210">
        <v>42</v>
      </c>
      <c r="K38" s="161">
        <v>23</v>
      </c>
      <c r="L38" s="161">
        <v>20</v>
      </c>
      <c r="M38" s="215">
        <v>64</v>
      </c>
      <c r="N38" s="162">
        <v>58</v>
      </c>
      <c r="O38" s="162">
        <v>90</v>
      </c>
      <c r="P38" s="161">
        <v>95</v>
      </c>
      <c r="Q38" s="224">
        <f>SUM(G38:P38)-W38</f>
        <v>485</v>
      </c>
      <c r="R38" s="145">
        <f t="shared" si="4"/>
        <v>35.925925925925924</v>
      </c>
      <c r="S38" s="146" t="str">
        <f t="shared" ref="S38:S40" si="11">IF(R38&gt;=50*0.9,"A",IF(R38&gt;=50*0.8,"B",IF(R38&gt;=50*0.7,"C",IF(R38&gt;=50*0.6,"D",IF(R38&gt;=50*0.5,"E",IF(Q38=0,"NA","F"))))))</f>
        <v>C</v>
      </c>
      <c r="T38" s="130">
        <f t="shared" si="2"/>
        <v>15</v>
      </c>
      <c r="U38" s="161">
        <v>1</v>
      </c>
      <c r="V38" s="161">
        <v>0</v>
      </c>
      <c r="W38" s="163">
        <f t="shared" si="3"/>
        <v>1</v>
      </c>
    </row>
    <row r="39" spans="1:23" ht="21" customHeight="1" x14ac:dyDescent="0.25">
      <c r="A39" s="175">
        <v>28</v>
      </c>
      <c r="B39" s="114" t="s">
        <v>441</v>
      </c>
      <c r="C39" s="114" t="s">
        <v>442</v>
      </c>
      <c r="D39" s="114" t="s">
        <v>32</v>
      </c>
      <c r="E39" s="384" t="s">
        <v>507</v>
      </c>
      <c r="F39" s="385"/>
      <c r="G39" s="161">
        <v>36</v>
      </c>
      <c r="H39" s="162">
        <v>2</v>
      </c>
      <c r="I39" s="161">
        <v>25</v>
      </c>
      <c r="J39" s="210">
        <v>3</v>
      </c>
      <c r="K39" s="161">
        <v>23</v>
      </c>
      <c r="L39" s="161">
        <v>20</v>
      </c>
      <c r="M39" s="215">
        <v>61</v>
      </c>
      <c r="N39" s="162">
        <v>50</v>
      </c>
      <c r="O39" s="162">
        <v>66</v>
      </c>
      <c r="P39" s="161">
        <v>88</v>
      </c>
      <c r="Q39" s="142">
        <f>SUM(G39:P39)-W39</f>
        <v>374</v>
      </c>
      <c r="R39" s="124">
        <f t="shared" si="4"/>
        <v>27.703703703703702</v>
      </c>
      <c r="S39" s="125" t="str">
        <f t="shared" si="11"/>
        <v>E</v>
      </c>
      <c r="T39" s="127">
        <f t="shared" si="2"/>
        <v>29</v>
      </c>
      <c r="U39" s="161">
        <v>0</v>
      </c>
      <c r="V39" s="161">
        <v>0</v>
      </c>
      <c r="W39" s="163">
        <f t="shared" si="3"/>
        <v>0</v>
      </c>
    </row>
    <row r="40" spans="1:23" ht="21" customHeight="1" x14ac:dyDescent="0.25">
      <c r="A40" s="174">
        <v>29</v>
      </c>
      <c r="B40" s="114" t="s">
        <v>443</v>
      </c>
      <c r="C40" s="114" t="s">
        <v>444</v>
      </c>
      <c r="D40" s="114" t="s">
        <v>32</v>
      </c>
      <c r="E40" s="384" t="s">
        <v>508</v>
      </c>
      <c r="F40" s="385"/>
      <c r="G40" s="161">
        <v>44</v>
      </c>
      <c r="H40" s="162">
        <v>2</v>
      </c>
      <c r="I40" s="161">
        <v>25</v>
      </c>
      <c r="J40" s="210">
        <v>15</v>
      </c>
      <c r="K40" s="161">
        <v>22</v>
      </c>
      <c r="L40" s="161">
        <v>20</v>
      </c>
      <c r="M40" s="215">
        <v>72</v>
      </c>
      <c r="N40" s="162">
        <v>59</v>
      </c>
      <c r="O40" s="162">
        <v>84</v>
      </c>
      <c r="P40" s="161">
        <v>99</v>
      </c>
      <c r="Q40" s="224">
        <f>SUM(G40:P40)-W40</f>
        <v>441</v>
      </c>
      <c r="R40" s="128">
        <f t="shared" si="4"/>
        <v>32.666666666666664</v>
      </c>
      <c r="S40" s="129" t="str">
        <f t="shared" si="11"/>
        <v>D</v>
      </c>
      <c r="T40" s="130">
        <f t="shared" si="2"/>
        <v>22</v>
      </c>
      <c r="U40" s="161">
        <v>1</v>
      </c>
      <c r="V40" s="161">
        <v>0</v>
      </c>
      <c r="W40" s="163">
        <f t="shared" si="3"/>
        <v>1</v>
      </c>
    </row>
    <row r="41" spans="1:23" ht="25.5" customHeight="1" x14ac:dyDescent="0.25">
      <c r="A41" s="374" t="str">
        <f>"បញ្ឈប់បញ្ជីត្រឹមឈ្មោះ ហ៊ឹម ធានី "&amp;"      ចំនួនសរុប  "&amp;COUNT(A12:A40)&amp;"  នាក់"&amp;"      ក្នុងនោះស្រី  "&amp;COUNTIF(D12:D40,"ស")&amp;"  នាក់ ។"</f>
        <v>បញ្ឈប់បញ្ជីត្រឹមឈ្មោះ ហ៊ឹម ធានី       ចំនួនសរុប  29  នាក់      ក្នុងនោះស្រី  20  នាក់ ។</v>
      </c>
      <c r="B41" s="374"/>
      <c r="C41" s="374"/>
      <c r="D41" s="374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4"/>
      <c r="P41" s="374"/>
      <c r="Q41" s="374"/>
      <c r="R41" s="374"/>
      <c r="S41" s="9"/>
    </row>
    <row r="42" spans="1:23" ht="18.600000000000001" customHeight="1" x14ac:dyDescent="0.25">
      <c r="B42" s="53" t="s">
        <v>34</v>
      </c>
      <c r="C42" s="53"/>
      <c r="N42" t="s">
        <v>364</v>
      </c>
    </row>
    <row r="43" spans="1:23" ht="18.600000000000001" customHeight="1" x14ac:dyDescent="0.25">
      <c r="A43" s="457" t="s">
        <v>51</v>
      </c>
      <c r="B43" s="457"/>
      <c r="C43" s="457"/>
      <c r="D43" s="84" t="s">
        <v>8</v>
      </c>
      <c r="E43" s="453" t="s">
        <v>39</v>
      </c>
      <c r="F43" s="454"/>
    </row>
    <row r="44" spans="1:23" ht="18.600000000000001" customHeight="1" x14ac:dyDescent="0.65">
      <c r="A44" s="465" t="s">
        <v>79</v>
      </c>
      <c r="B44" s="465"/>
      <c r="C44" s="465"/>
      <c r="D44" s="42" t="s">
        <v>26</v>
      </c>
      <c r="E44" s="459" t="s">
        <v>52</v>
      </c>
      <c r="F44" s="460"/>
      <c r="Q44" s="23"/>
    </row>
    <row r="45" spans="1:23" ht="18.600000000000001" customHeight="1" x14ac:dyDescent="0.25">
      <c r="A45" s="466" t="s">
        <v>80</v>
      </c>
      <c r="B45" s="466"/>
      <c r="C45" s="466"/>
      <c r="D45" s="43" t="s">
        <v>27</v>
      </c>
      <c r="E45" s="461" t="s">
        <v>35</v>
      </c>
      <c r="F45" s="462"/>
    </row>
    <row r="46" spans="1:23" ht="18.600000000000001" customHeight="1" x14ac:dyDescent="0.25">
      <c r="A46" s="467" t="s">
        <v>81</v>
      </c>
      <c r="B46" s="467"/>
      <c r="C46" s="467"/>
      <c r="D46" s="44" t="s">
        <v>28</v>
      </c>
      <c r="E46" s="463" t="s">
        <v>36</v>
      </c>
      <c r="F46" s="464"/>
      <c r="I46" s="38"/>
      <c r="J46" s="39"/>
      <c r="K46" s="38"/>
      <c r="L46" s="39"/>
      <c r="M46" s="38"/>
      <c r="N46" s="379"/>
      <c r="O46" s="379"/>
      <c r="P46" s="379"/>
    </row>
    <row r="47" spans="1:23" ht="18.600000000000001" customHeight="1" x14ac:dyDescent="0.25">
      <c r="A47" s="451" t="s">
        <v>82</v>
      </c>
      <c r="B47" s="451"/>
      <c r="C47" s="451"/>
      <c r="D47" s="45" t="s">
        <v>29</v>
      </c>
      <c r="E47" s="455" t="s">
        <v>42</v>
      </c>
      <c r="F47" s="456"/>
      <c r="I47" s="25"/>
      <c r="J47" s="26"/>
      <c r="K47" s="26"/>
      <c r="L47" s="26"/>
      <c r="M47" s="26"/>
      <c r="N47" s="8"/>
      <c r="O47" s="8"/>
      <c r="P47" s="8"/>
    </row>
    <row r="48" spans="1:23" ht="18.600000000000001" customHeight="1" x14ac:dyDescent="0.25">
      <c r="A48" s="452" t="s">
        <v>83</v>
      </c>
      <c r="B48" s="452"/>
      <c r="C48" s="452"/>
      <c r="D48" s="46" t="s">
        <v>41</v>
      </c>
      <c r="E48" s="446" t="s">
        <v>37</v>
      </c>
      <c r="F48" s="447"/>
      <c r="I48" s="26"/>
      <c r="J48" s="26"/>
      <c r="K48" s="26"/>
      <c r="L48" s="13"/>
      <c r="M48" s="13"/>
      <c r="N48" s="13"/>
      <c r="O48" s="13"/>
      <c r="P48" s="13"/>
    </row>
    <row r="49" spans="1:23" ht="18.600000000000001" customHeight="1" x14ac:dyDescent="0.25">
      <c r="A49" s="448" t="s">
        <v>84</v>
      </c>
      <c r="B49" s="448"/>
      <c r="C49" s="448"/>
      <c r="D49" s="47" t="s">
        <v>30</v>
      </c>
      <c r="E49" s="448" t="s">
        <v>38</v>
      </c>
      <c r="F49" s="448"/>
      <c r="G49" s="71"/>
      <c r="H49" s="71"/>
      <c r="I49" s="26"/>
      <c r="J49" s="26"/>
      <c r="K49" s="26"/>
      <c r="L49" s="13"/>
      <c r="M49" s="13"/>
      <c r="N49" s="13"/>
      <c r="O49" s="13"/>
      <c r="P49" s="13"/>
    </row>
    <row r="50" spans="1:23" ht="28.9" customHeight="1" x14ac:dyDescent="0.25">
      <c r="A50" s="346" t="s">
        <v>92</v>
      </c>
      <c r="B50" s="346"/>
      <c r="C50" s="346"/>
      <c r="D50" s="346"/>
      <c r="E50" s="346"/>
      <c r="F50" s="346"/>
      <c r="G50" s="346"/>
      <c r="H50" s="346"/>
      <c r="I50" s="346"/>
      <c r="J50" s="26"/>
      <c r="K50" s="26"/>
      <c r="L50" s="13"/>
      <c r="M50" s="13"/>
      <c r="N50" s="13"/>
      <c r="O50" s="13"/>
      <c r="P50" s="13"/>
    </row>
    <row r="51" spans="1:23" ht="23.45" customHeight="1" x14ac:dyDescent="0.6">
      <c r="A51" s="449" t="s">
        <v>33</v>
      </c>
      <c r="B51" s="449"/>
      <c r="C51" s="449"/>
      <c r="D51" s="449"/>
      <c r="E51" s="450"/>
      <c r="F51" s="69" t="s">
        <v>3</v>
      </c>
      <c r="G51" s="70" t="s">
        <v>4</v>
      </c>
      <c r="I51" s="26"/>
      <c r="J51" s="26"/>
      <c r="K51" s="26"/>
      <c r="L51" s="13"/>
      <c r="M51" s="13"/>
      <c r="N51" s="9"/>
    </row>
    <row r="52" spans="1:23" ht="24" customHeight="1" x14ac:dyDescent="0.65">
      <c r="B52" s="418" t="s">
        <v>55</v>
      </c>
      <c r="C52" s="419"/>
      <c r="D52" s="422" t="s">
        <v>67</v>
      </c>
      <c r="E52" s="423"/>
      <c r="F52" s="67">
        <f>D55+F55</f>
        <v>29</v>
      </c>
      <c r="G52" s="68">
        <f>E55+G55</f>
        <v>20</v>
      </c>
      <c r="H52" s="358" t="s">
        <v>8</v>
      </c>
      <c r="I52" s="359"/>
      <c r="J52" s="359"/>
      <c r="K52" s="359"/>
      <c r="L52" s="359"/>
      <c r="M52" s="359"/>
      <c r="N52" s="359"/>
      <c r="O52" s="359"/>
      <c r="P52" s="359"/>
      <c r="Q52" s="359"/>
      <c r="R52" s="359"/>
      <c r="S52" s="360"/>
      <c r="T52" s="80" t="s">
        <v>85</v>
      </c>
      <c r="U52" s="80"/>
    </row>
    <row r="53" spans="1:23" ht="43.5" customHeight="1" x14ac:dyDescent="0.25">
      <c r="A53" s="8"/>
      <c r="B53" s="420"/>
      <c r="C53" s="421"/>
      <c r="D53" s="361" t="s">
        <v>77</v>
      </c>
      <c r="E53" s="362"/>
      <c r="F53" s="363" t="s">
        <v>86</v>
      </c>
      <c r="G53" s="364"/>
      <c r="H53" s="341" t="s">
        <v>26</v>
      </c>
      <c r="I53" s="342"/>
      <c r="J53" s="341" t="s">
        <v>27</v>
      </c>
      <c r="K53" s="342"/>
      <c r="L53" s="341" t="s">
        <v>28</v>
      </c>
      <c r="M53" s="342"/>
      <c r="N53" s="341" t="s">
        <v>29</v>
      </c>
      <c r="O53" s="342"/>
      <c r="P53" s="343" t="s">
        <v>41</v>
      </c>
      <c r="Q53" s="344"/>
      <c r="R53" s="348" t="s">
        <v>88</v>
      </c>
      <c r="S53" s="349"/>
      <c r="T53" s="80"/>
      <c r="U53" s="80"/>
    </row>
    <row r="54" spans="1:23" ht="22.5" customHeight="1" x14ac:dyDescent="0.6">
      <c r="A54" s="8"/>
      <c r="B54" s="4" t="s">
        <v>3</v>
      </c>
      <c r="C54" s="33" t="s">
        <v>4</v>
      </c>
      <c r="D54" s="4" t="s">
        <v>3</v>
      </c>
      <c r="E54" s="33" t="s">
        <v>4</v>
      </c>
      <c r="F54" s="4" t="s">
        <v>3</v>
      </c>
      <c r="G54" s="33" t="s">
        <v>4</v>
      </c>
      <c r="H54" s="4" t="s">
        <v>3</v>
      </c>
      <c r="I54" s="52" t="s">
        <v>4</v>
      </c>
      <c r="J54" s="40" t="s">
        <v>3</v>
      </c>
      <c r="K54" s="33" t="s">
        <v>4</v>
      </c>
      <c r="L54" s="4" t="s">
        <v>3</v>
      </c>
      <c r="M54" s="33" t="s">
        <v>4</v>
      </c>
      <c r="N54" s="4" t="s">
        <v>3</v>
      </c>
      <c r="O54" s="33" t="s">
        <v>4</v>
      </c>
      <c r="P54" s="4" t="s">
        <v>3</v>
      </c>
      <c r="Q54" s="33" t="s">
        <v>4</v>
      </c>
      <c r="R54" s="63" t="s">
        <v>3</v>
      </c>
      <c r="S54" s="64" t="s">
        <v>4</v>
      </c>
      <c r="T54" s="33"/>
      <c r="U54" s="4"/>
    </row>
    <row r="55" spans="1:23" ht="21" customHeight="1" x14ac:dyDescent="0.25">
      <c r="A55" s="8"/>
      <c r="B55" s="55">
        <f>COUNT(A12:A40)</f>
        <v>29</v>
      </c>
      <c r="C55" s="56">
        <f>COUNTIF(D12:D40,"ស")</f>
        <v>20</v>
      </c>
      <c r="D55" s="55">
        <f>SUM(H55,J55,L55,N55,P55)</f>
        <v>29</v>
      </c>
      <c r="E55" s="56">
        <f>SUM(I55,K55,M55,O55,Q55)</f>
        <v>20</v>
      </c>
      <c r="F55" s="89">
        <f>COUNTIF(S12:S40,"F")</f>
        <v>0</v>
      </c>
      <c r="G55" s="34">
        <f>COUNTIFS(S12:S40,"F",D12:D40,"ស")</f>
        <v>0</v>
      </c>
      <c r="H55" s="35">
        <f>COUNTIF(S12:S40,"A")</f>
        <v>0</v>
      </c>
      <c r="I55" s="34">
        <f>COUNTIFS(S12:S40,"A",D12:D40,"ស")</f>
        <v>0</v>
      </c>
      <c r="J55" s="35">
        <f>COUNTIF(S12:S40,"B")</f>
        <v>8</v>
      </c>
      <c r="K55" s="34">
        <f>COUNTIFS(S12:S40,"B",D12:D40,"ស")</f>
        <v>3</v>
      </c>
      <c r="L55" s="35">
        <f>COUNTIF(S12:S40,"C")</f>
        <v>11</v>
      </c>
      <c r="M55" s="34">
        <f>COUNTIFS(S12:S40,"C",D12:D40,"ស")</f>
        <v>8</v>
      </c>
      <c r="N55" s="35">
        <f>COUNTIF(S12:S40,"D")</f>
        <v>7</v>
      </c>
      <c r="O55" s="34">
        <f>COUNTIFS(S12:S40,"D",D12:D40,"ស")</f>
        <v>6</v>
      </c>
      <c r="P55" s="35">
        <f>COUNTIF(S12:S40,"E")</f>
        <v>3</v>
      </c>
      <c r="Q55" s="34">
        <f>COUNTIFS(S12:S40,"E",D12:D40,"ស")</f>
        <v>3</v>
      </c>
      <c r="R55" s="65">
        <f>COUNTIF(S12:S40,"NA")</f>
        <v>0</v>
      </c>
      <c r="S55" s="66">
        <f>COUNTIFS(S12:S40,"NA",D12:D40,"ស")</f>
        <v>0</v>
      </c>
      <c r="T55" s="34"/>
      <c r="U55" s="55"/>
    </row>
    <row r="56" spans="1:23" s="83" customFormat="1" ht="21.75" customHeight="1" x14ac:dyDescent="0.25">
      <c r="A56" s="8"/>
      <c r="B56" s="108"/>
      <c r="D56" s="109"/>
      <c r="F56" s="110"/>
      <c r="L56" s="30"/>
      <c r="P56" s="379" t="str">
        <f>កុំព្យទ័រ៣!P52</f>
        <v>ថ្ងៃអង្គារ  ១៣កើត ខែចេត្រ ឆ្នាំម្សាញ់ សប្តស័ក ព.ស ២៥៦៩</v>
      </c>
      <c r="Q56" s="379"/>
      <c r="R56" s="379"/>
      <c r="S56" s="379"/>
      <c r="T56" s="379"/>
      <c r="U56" s="379"/>
      <c r="V56" s="379"/>
      <c r="W56" s="379"/>
    </row>
    <row r="57" spans="1:23" ht="21.75" customHeight="1" x14ac:dyDescent="0.25">
      <c r="A57" s="30"/>
      <c r="B57" s="30"/>
      <c r="C57" s="30"/>
      <c r="D57" s="30"/>
      <c r="E57" s="30"/>
      <c r="F57" s="99"/>
      <c r="G57" s="30"/>
      <c r="H57" s="30"/>
      <c r="I57" s="30"/>
      <c r="J57" s="30"/>
      <c r="K57" s="30"/>
      <c r="M57" s="30"/>
      <c r="N57" s="9"/>
      <c r="P57" s="458" t="str">
        <f>កុំព្យទ័រ៣!P53</f>
        <v>ធ្វើនៅដុនបូស្កូប៉ោយប៉ែត ថ្ងៃទី៣១ខែ មីនាឆ្នាំ ២០២៦</v>
      </c>
      <c r="Q57" s="458"/>
      <c r="R57" s="458"/>
      <c r="S57" s="458"/>
      <c r="T57" s="458"/>
      <c r="U57" s="458"/>
      <c r="V57" s="458"/>
      <c r="W57" s="458"/>
    </row>
    <row r="58" spans="1:23" ht="23.45" customHeight="1" x14ac:dyDescent="0.65">
      <c r="A58" s="340" t="s">
        <v>22</v>
      </c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11"/>
      <c r="O58" s="13"/>
      <c r="P58" s="13"/>
      <c r="Q58" s="321" t="s">
        <v>16</v>
      </c>
      <c r="R58" s="321"/>
      <c r="S58" s="321"/>
      <c r="T58" s="321"/>
      <c r="U58" s="321"/>
      <c r="V58" s="321"/>
      <c r="W58" s="321"/>
    </row>
    <row r="59" spans="1:23" ht="15.6" customHeight="1" x14ac:dyDescent="0.25">
      <c r="A59" s="340" t="str">
        <f>ស្ថិតិលទ្ធផលសិក្សាតាមនិទ្ទេស!A73</f>
        <v>នាយកសាលា</v>
      </c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13"/>
      <c r="O59" s="13"/>
      <c r="P59" s="13"/>
      <c r="Q59" s="18"/>
      <c r="R59" s="19"/>
      <c r="S59" s="16"/>
    </row>
    <row r="60" spans="1:23" ht="21" customHeight="1" x14ac:dyDescent="0.25">
      <c r="N60" s="16"/>
      <c r="O60" s="16"/>
      <c r="P60" s="16"/>
      <c r="Q60" s="21"/>
      <c r="R60" s="16"/>
      <c r="S60" s="16"/>
    </row>
    <row r="61" spans="1:23" ht="21" x14ac:dyDescent="0.25">
      <c r="A61" s="14"/>
      <c r="B61" s="22"/>
      <c r="C61" s="22"/>
      <c r="D61" s="22"/>
      <c r="E61" s="22"/>
      <c r="F61" s="100"/>
      <c r="G61" s="22"/>
      <c r="I61" s="22"/>
      <c r="J61" s="17"/>
      <c r="K61" s="15"/>
      <c r="L61" s="15"/>
      <c r="M61" s="20"/>
      <c r="N61" s="16"/>
      <c r="O61" s="16"/>
      <c r="P61" s="16"/>
      <c r="Q61" s="21"/>
      <c r="R61" s="16"/>
      <c r="S61" s="16"/>
    </row>
  </sheetData>
  <mergeCells count="93">
    <mergeCell ref="A5:K5"/>
    <mergeCell ref="A1:W1"/>
    <mergeCell ref="A2:W2"/>
    <mergeCell ref="A3:W3"/>
    <mergeCell ref="U4:W4"/>
    <mergeCell ref="A4:K4"/>
    <mergeCell ref="U9:W10"/>
    <mergeCell ref="G10:G11"/>
    <mergeCell ref="H10:H11"/>
    <mergeCell ref="A6:K6"/>
    <mergeCell ref="J10:J11"/>
    <mergeCell ref="K10:K11"/>
    <mergeCell ref="L10:L11"/>
    <mergeCell ref="A7:W7"/>
    <mergeCell ref="A8:W8"/>
    <mergeCell ref="A9:A11"/>
    <mergeCell ref="B9:B11"/>
    <mergeCell ref="C9:C11"/>
    <mergeCell ref="D9:D11"/>
    <mergeCell ref="E9:F11"/>
    <mergeCell ref="G9:P9"/>
    <mergeCell ref="Q9:Q11"/>
    <mergeCell ref="T9:T11"/>
    <mergeCell ref="E14:F14"/>
    <mergeCell ref="E15:F15"/>
    <mergeCell ref="E16:F16"/>
    <mergeCell ref="E18:F18"/>
    <mergeCell ref="E13:F13"/>
    <mergeCell ref="P10:P11"/>
    <mergeCell ref="R9:R11"/>
    <mergeCell ref="S9:S11"/>
    <mergeCell ref="M10:M11"/>
    <mergeCell ref="N10:N11"/>
    <mergeCell ref="O10:O11"/>
    <mergeCell ref="E17:F17"/>
    <mergeCell ref="E25:F25"/>
    <mergeCell ref="E20:F20"/>
    <mergeCell ref="E21:F21"/>
    <mergeCell ref="E22:F22"/>
    <mergeCell ref="E23:F23"/>
    <mergeCell ref="E24:F24"/>
    <mergeCell ref="E19:F19"/>
    <mergeCell ref="E12:F12"/>
    <mergeCell ref="I10:I11"/>
    <mergeCell ref="A41:R41"/>
    <mergeCell ref="E35:F35"/>
    <mergeCell ref="E36:F36"/>
    <mergeCell ref="E37:F37"/>
    <mergeCell ref="E40:F40"/>
    <mergeCell ref="E38:F38"/>
    <mergeCell ref="E39:F39"/>
    <mergeCell ref="E27:F27"/>
    <mergeCell ref="E34:F34"/>
    <mergeCell ref="E26:F26"/>
    <mergeCell ref="E32:F32"/>
    <mergeCell ref="E31:F31"/>
    <mergeCell ref="E30:F30"/>
    <mergeCell ref="N46:P46"/>
    <mergeCell ref="E47:F47"/>
    <mergeCell ref="A43:C43"/>
    <mergeCell ref="L53:M53"/>
    <mergeCell ref="N53:O53"/>
    <mergeCell ref="P53:Q53"/>
    <mergeCell ref="B52:C53"/>
    <mergeCell ref="D52:E52"/>
    <mergeCell ref="H52:S52"/>
    <mergeCell ref="D53:E53"/>
    <mergeCell ref="F53:G53"/>
    <mergeCell ref="H53:I53"/>
    <mergeCell ref="J53:K53"/>
    <mergeCell ref="E44:F44"/>
    <mergeCell ref="E45:F45"/>
    <mergeCell ref="E46:F46"/>
    <mergeCell ref="Q58:W58"/>
    <mergeCell ref="A50:I50"/>
    <mergeCell ref="E48:F48"/>
    <mergeCell ref="E49:F49"/>
    <mergeCell ref="A51:E51"/>
    <mergeCell ref="A48:C48"/>
    <mergeCell ref="A49:C49"/>
    <mergeCell ref="R53:S53"/>
    <mergeCell ref="P56:W56"/>
    <mergeCell ref="P57:W57"/>
    <mergeCell ref="A58:M58"/>
    <mergeCell ref="E29:F29"/>
    <mergeCell ref="E28:F28"/>
    <mergeCell ref="E33:F33"/>
    <mergeCell ref="A59:M59"/>
    <mergeCell ref="A47:C47"/>
    <mergeCell ref="E43:F43"/>
    <mergeCell ref="A44:C44"/>
    <mergeCell ref="A45:C45"/>
    <mergeCell ref="A46:C46"/>
  </mergeCells>
  <phoneticPr fontId="59" type="noConversion"/>
  <pageMargins left="0.25" right="0.25" top="0.38" bottom="0.42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5"/>
  <sheetViews>
    <sheetView view="pageLayout" topLeftCell="A49" zoomScaleNormal="85" zoomScaleSheetLayoutView="115" workbookViewId="0">
      <selection activeCell="M54" sqref="M54"/>
    </sheetView>
  </sheetViews>
  <sheetFormatPr defaultRowHeight="15" x14ac:dyDescent="0.25"/>
  <cols>
    <col min="1" max="1" width="4.7109375" customWidth="1"/>
    <col min="2" max="2" width="7.85546875" style="94" customWidth="1"/>
    <col min="3" max="3" width="10.85546875" style="94" customWidth="1"/>
    <col min="4" max="4" width="5.5703125" customWidth="1"/>
    <col min="5" max="5" width="11.85546875" customWidth="1"/>
    <col min="6" max="6" width="6.42578125" customWidth="1"/>
    <col min="7" max="7" width="4.7109375" customWidth="1"/>
    <col min="8" max="11" width="4.85546875" customWidth="1"/>
    <col min="12" max="12" width="5" customWidth="1"/>
    <col min="13" max="13" width="5.140625" customWidth="1"/>
    <col min="14" max="14" width="5" customWidth="1"/>
    <col min="15" max="15" width="4.85546875" customWidth="1"/>
    <col min="16" max="16" width="5.140625" customWidth="1"/>
    <col min="17" max="17" width="6.28515625" customWidth="1"/>
    <col min="18" max="18" width="9.7109375" customWidth="1"/>
    <col min="19" max="19" width="6.7109375" customWidth="1"/>
    <col min="20" max="20" width="5.5703125" customWidth="1"/>
    <col min="21" max="21" width="7" customWidth="1"/>
    <col min="22" max="22" width="6.7109375" customWidth="1"/>
    <col min="23" max="23" width="7.28515625" customWidth="1"/>
  </cols>
  <sheetData>
    <row r="1" spans="1:23" ht="25.5" x14ac:dyDescent="0.25">
      <c r="A1" s="393" t="s">
        <v>13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</row>
    <row r="2" spans="1:23" ht="28.5" x14ac:dyDescent="0.25">
      <c r="A2" s="394" t="s">
        <v>19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</row>
    <row r="3" spans="1:23" ht="15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</row>
    <row r="4" spans="1:23" ht="23.25" x14ac:dyDescent="0.65">
      <c r="A4" s="244" t="s">
        <v>15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7"/>
      <c r="M4" s="7"/>
      <c r="N4" s="7"/>
      <c r="O4" s="7"/>
      <c r="P4" s="7"/>
      <c r="Q4" s="6"/>
      <c r="R4" s="5"/>
      <c r="S4" s="5"/>
      <c r="U4" s="395" t="s">
        <v>64</v>
      </c>
      <c r="V4" s="395"/>
      <c r="W4" s="395"/>
    </row>
    <row r="5" spans="1:23" ht="23.25" x14ac:dyDescent="0.65">
      <c r="A5" s="244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7"/>
      <c r="M5" s="7"/>
      <c r="N5" s="7"/>
      <c r="O5" s="7"/>
      <c r="P5" s="7"/>
      <c r="Q5" s="6"/>
      <c r="R5" s="5"/>
      <c r="S5" s="5"/>
    </row>
    <row r="6" spans="1:23" ht="23.25" x14ac:dyDescent="0.65">
      <c r="A6" s="244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7"/>
      <c r="M6" s="7"/>
      <c r="N6" s="7"/>
      <c r="O6" s="7"/>
      <c r="P6" s="7"/>
      <c r="Q6" s="6"/>
      <c r="R6" s="5"/>
      <c r="S6" s="5"/>
    </row>
    <row r="7" spans="1:23" ht="23.25" x14ac:dyDescent="0.25">
      <c r="A7" s="396" t="s">
        <v>517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</row>
    <row r="8" spans="1:23" ht="21" x14ac:dyDescent="0.25">
      <c r="A8" s="397" t="str">
        <f>មេកានិច១!A8</f>
        <v>ឆ្នាំសិក្សា ២០២៥- ២០២៦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</row>
    <row r="9" spans="1:23" ht="24.95" customHeight="1" x14ac:dyDescent="0.25">
      <c r="A9" s="398" t="s">
        <v>0</v>
      </c>
      <c r="B9" s="478" t="s">
        <v>25</v>
      </c>
      <c r="C9" s="479" t="s">
        <v>20</v>
      </c>
      <c r="D9" s="398" t="s">
        <v>21</v>
      </c>
      <c r="E9" s="398" t="s">
        <v>50</v>
      </c>
      <c r="F9" s="398"/>
      <c r="G9" s="402" t="s">
        <v>23</v>
      </c>
      <c r="H9" s="402"/>
      <c r="I9" s="402"/>
      <c r="J9" s="402"/>
      <c r="K9" s="402"/>
      <c r="L9" s="402"/>
      <c r="M9" s="402"/>
      <c r="N9" s="402"/>
      <c r="O9" s="402"/>
      <c r="P9" s="402"/>
      <c r="Q9" s="403" t="s">
        <v>3</v>
      </c>
      <c r="R9" s="390" t="s">
        <v>24</v>
      </c>
      <c r="S9" s="391" t="s">
        <v>8</v>
      </c>
      <c r="T9" s="391" t="s">
        <v>45</v>
      </c>
      <c r="U9" s="392" t="s">
        <v>47</v>
      </c>
      <c r="V9" s="392"/>
      <c r="W9" s="392"/>
    </row>
    <row r="10" spans="1:23" ht="21" customHeight="1" x14ac:dyDescent="0.25">
      <c r="A10" s="398"/>
      <c r="B10" s="478"/>
      <c r="C10" s="479"/>
      <c r="D10" s="398"/>
      <c r="E10" s="398"/>
      <c r="F10" s="398"/>
      <c r="G10" s="386" t="s">
        <v>53</v>
      </c>
      <c r="H10" s="386" t="s">
        <v>54</v>
      </c>
      <c r="I10" s="386" t="s">
        <v>97</v>
      </c>
      <c r="J10" s="386" t="s">
        <v>98</v>
      </c>
      <c r="K10" s="386" t="s">
        <v>99</v>
      </c>
      <c r="L10" s="386" t="s">
        <v>100</v>
      </c>
      <c r="M10" s="386" t="s">
        <v>101</v>
      </c>
      <c r="N10" s="386" t="s">
        <v>102</v>
      </c>
      <c r="O10" s="482" t="s">
        <v>104</v>
      </c>
      <c r="P10" s="386" t="s">
        <v>103</v>
      </c>
      <c r="Q10" s="403"/>
      <c r="R10" s="390"/>
      <c r="S10" s="391"/>
      <c r="T10" s="391"/>
      <c r="U10" s="392"/>
      <c r="V10" s="392"/>
      <c r="W10" s="392"/>
    </row>
    <row r="11" spans="1:23" ht="25.5" customHeight="1" x14ac:dyDescent="0.25">
      <c r="A11" s="398"/>
      <c r="B11" s="478"/>
      <c r="C11" s="479"/>
      <c r="D11" s="398"/>
      <c r="E11" s="398"/>
      <c r="F11" s="398"/>
      <c r="G11" s="387"/>
      <c r="H11" s="387"/>
      <c r="I11" s="387"/>
      <c r="J11" s="387"/>
      <c r="K11" s="387"/>
      <c r="L11" s="387"/>
      <c r="M11" s="387"/>
      <c r="N11" s="387"/>
      <c r="O11" s="483"/>
      <c r="P11" s="387"/>
      <c r="Q11" s="403"/>
      <c r="R11" s="390"/>
      <c r="S11" s="391"/>
      <c r="T11" s="391"/>
      <c r="U11" s="152" t="s">
        <v>48</v>
      </c>
      <c r="V11" s="152" t="s">
        <v>49</v>
      </c>
      <c r="W11" s="85" t="s">
        <v>3</v>
      </c>
    </row>
    <row r="12" spans="1:23" ht="23.45" customHeight="1" x14ac:dyDescent="0.25">
      <c r="A12" s="169">
        <v>1</v>
      </c>
      <c r="B12" s="105" t="s">
        <v>315</v>
      </c>
      <c r="C12" s="105" t="s">
        <v>274</v>
      </c>
      <c r="D12" s="105" t="s">
        <v>32</v>
      </c>
      <c r="E12" s="480" t="s">
        <v>347</v>
      </c>
      <c r="F12" s="481"/>
      <c r="G12" s="161">
        <v>45</v>
      </c>
      <c r="H12" s="162">
        <v>38</v>
      </c>
      <c r="I12" s="161">
        <v>27</v>
      </c>
      <c r="J12" s="215">
        <v>37</v>
      </c>
      <c r="K12" s="161">
        <v>22</v>
      </c>
      <c r="L12" s="215">
        <v>20</v>
      </c>
      <c r="M12" s="162">
        <v>75</v>
      </c>
      <c r="N12" s="162">
        <v>80</v>
      </c>
      <c r="O12" s="161">
        <v>93</v>
      </c>
      <c r="P12" s="210">
        <v>83</v>
      </c>
      <c r="Q12" s="142">
        <f>SUM(G12:P12)-W12</f>
        <v>520</v>
      </c>
      <c r="R12" s="131">
        <f>Q12/14.5</f>
        <v>35.862068965517238</v>
      </c>
      <c r="S12" s="132" t="str">
        <f>IF(R12&gt;=50*0.9,"A",IF(R12&gt;=50*0.8,"B",IF(R12&gt;=50*0.7,"C",IF(R12&gt;=50*0.6,"D",IF(R12&gt;=50*0.5,"E",IF(Q12=0,"NA","F"))))))</f>
        <v>C</v>
      </c>
      <c r="T12" s="127">
        <f t="shared" ref="T12:T26" si="0">RANK(R12,$R$12:$R$26)</f>
        <v>4</v>
      </c>
      <c r="U12" s="161">
        <v>0</v>
      </c>
      <c r="V12" s="161">
        <v>0</v>
      </c>
      <c r="W12" s="153">
        <f>SUM(U12:V12)</f>
        <v>0</v>
      </c>
    </row>
    <row r="13" spans="1:23" ht="22.9" customHeight="1" x14ac:dyDescent="0.25">
      <c r="A13" s="169">
        <v>2</v>
      </c>
      <c r="B13" s="105" t="s">
        <v>316</v>
      </c>
      <c r="C13" s="105" t="s">
        <v>325</v>
      </c>
      <c r="D13" s="105" t="s">
        <v>31</v>
      </c>
      <c r="E13" s="480" t="s">
        <v>348</v>
      </c>
      <c r="F13" s="481"/>
      <c r="G13" s="161">
        <v>40</v>
      </c>
      <c r="H13" s="162">
        <v>51</v>
      </c>
      <c r="I13" s="161">
        <v>28</v>
      </c>
      <c r="J13" s="215">
        <v>30</v>
      </c>
      <c r="K13" s="161">
        <v>24</v>
      </c>
      <c r="L13" s="215">
        <v>20</v>
      </c>
      <c r="M13" s="162">
        <v>40</v>
      </c>
      <c r="N13" s="162">
        <v>40</v>
      </c>
      <c r="O13" s="161">
        <v>75</v>
      </c>
      <c r="P13" s="210">
        <v>93</v>
      </c>
      <c r="Q13" s="142">
        <f t="shared" ref="Q13:Q26" si="1">SUM(G13:P13)-W13</f>
        <v>440</v>
      </c>
      <c r="R13" s="131">
        <f t="shared" ref="R13:R26" si="2">Q13/14.5</f>
        <v>30.344827586206897</v>
      </c>
      <c r="S13" s="132" t="str">
        <f t="shared" ref="S13:S26" si="3">IF(R13&gt;=50*0.9,"A",IF(R13&gt;=50*0.8,"B",IF(R13&gt;=50*0.7,"C",IF(R13&gt;=50*0.6,"D",IF(R13&gt;=50*0.5,"E",IF(Q13=0,"NA","F"))))))</f>
        <v>D</v>
      </c>
      <c r="T13" s="127">
        <f t="shared" si="0"/>
        <v>9</v>
      </c>
      <c r="U13" s="161">
        <v>1</v>
      </c>
      <c r="V13" s="161">
        <v>0</v>
      </c>
      <c r="W13" s="153">
        <f t="shared" ref="W13:W26" si="4">SUM(U13:V13)</f>
        <v>1</v>
      </c>
    </row>
    <row r="14" spans="1:23" ht="23.45" customHeight="1" x14ac:dyDescent="0.25">
      <c r="A14" s="169">
        <v>3</v>
      </c>
      <c r="B14" s="105" t="s">
        <v>317</v>
      </c>
      <c r="C14" s="105" t="s">
        <v>116</v>
      </c>
      <c r="D14" s="105" t="s">
        <v>31</v>
      </c>
      <c r="E14" s="480" t="s">
        <v>349</v>
      </c>
      <c r="F14" s="481"/>
      <c r="G14" s="161">
        <v>44</v>
      </c>
      <c r="H14" s="162">
        <v>51</v>
      </c>
      <c r="I14" s="161">
        <v>28</v>
      </c>
      <c r="J14" s="215">
        <v>35</v>
      </c>
      <c r="K14" s="161">
        <v>23</v>
      </c>
      <c r="L14" s="215">
        <v>20</v>
      </c>
      <c r="M14" s="162">
        <v>90</v>
      </c>
      <c r="N14" s="162">
        <v>95</v>
      </c>
      <c r="O14" s="161">
        <v>98</v>
      </c>
      <c r="P14" s="210">
        <v>115</v>
      </c>
      <c r="Q14" s="142">
        <f t="shared" si="1"/>
        <v>598</v>
      </c>
      <c r="R14" s="131">
        <f t="shared" si="2"/>
        <v>41.241379310344826</v>
      </c>
      <c r="S14" s="132" t="str">
        <f t="shared" si="3"/>
        <v>B</v>
      </c>
      <c r="T14" s="127">
        <f t="shared" si="0"/>
        <v>2</v>
      </c>
      <c r="U14" s="161">
        <v>1</v>
      </c>
      <c r="V14" s="161">
        <v>0</v>
      </c>
      <c r="W14" s="153">
        <f t="shared" si="4"/>
        <v>1</v>
      </c>
    </row>
    <row r="15" spans="1:23" ht="23.45" customHeight="1" x14ac:dyDescent="0.25">
      <c r="A15" s="169">
        <v>4</v>
      </c>
      <c r="B15" s="105" t="s">
        <v>318</v>
      </c>
      <c r="C15" s="105" t="s">
        <v>326</v>
      </c>
      <c r="D15" s="105" t="s">
        <v>31</v>
      </c>
      <c r="E15" s="480" t="s">
        <v>350</v>
      </c>
      <c r="F15" s="481"/>
      <c r="G15" s="161">
        <v>44</v>
      </c>
      <c r="H15" s="162">
        <v>64</v>
      </c>
      <c r="I15" s="161">
        <v>42</v>
      </c>
      <c r="J15" s="215">
        <v>27</v>
      </c>
      <c r="K15" s="161">
        <v>22</v>
      </c>
      <c r="L15" s="215">
        <v>20</v>
      </c>
      <c r="M15" s="162">
        <v>100</v>
      </c>
      <c r="N15" s="162">
        <v>100</v>
      </c>
      <c r="O15" s="161">
        <v>100</v>
      </c>
      <c r="P15" s="210">
        <v>125</v>
      </c>
      <c r="Q15" s="141">
        <f>SUM(G15:P15)-W15</f>
        <v>642</v>
      </c>
      <c r="R15" s="145">
        <f t="shared" si="2"/>
        <v>44.275862068965516</v>
      </c>
      <c r="S15" s="146" t="str">
        <f t="shared" si="3"/>
        <v>B</v>
      </c>
      <c r="T15" s="130">
        <f t="shared" si="0"/>
        <v>1</v>
      </c>
      <c r="U15" s="161">
        <v>2</v>
      </c>
      <c r="V15" s="161">
        <v>0</v>
      </c>
      <c r="W15" s="153">
        <f t="shared" si="4"/>
        <v>2</v>
      </c>
    </row>
    <row r="16" spans="1:23" ht="23.45" customHeight="1" x14ac:dyDescent="0.25">
      <c r="A16" s="169">
        <v>5</v>
      </c>
      <c r="B16" s="105" t="s">
        <v>121</v>
      </c>
      <c r="C16" s="105" t="s">
        <v>327</v>
      </c>
      <c r="D16" s="105" t="s">
        <v>32</v>
      </c>
      <c r="E16" s="480" t="s">
        <v>351</v>
      </c>
      <c r="F16" s="481"/>
      <c r="G16" s="161">
        <v>49</v>
      </c>
      <c r="H16" s="162">
        <v>44</v>
      </c>
      <c r="I16" s="161">
        <v>27</v>
      </c>
      <c r="J16" s="215">
        <v>36</v>
      </c>
      <c r="K16" s="161">
        <v>25</v>
      </c>
      <c r="L16" s="215">
        <v>20</v>
      </c>
      <c r="M16" s="162">
        <v>35</v>
      </c>
      <c r="N16" s="162">
        <v>70</v>
      </c>
      <c r="O16" s="161">
        <v>43</v>
      </c>
      <c r="P16" s="210">
        <v>68</v>
      </c>
      <c r="Q16" s="142">
        <f t="shared" si="1"/>
        <v>415</v>
      </c>
      <c r="R16" s="131">
        <f t="shared" si="2"/>
        <v>28.620689655172413</v>
      </c>
      <c r="S16" s="132" t="str">
        <f t="shared" si="3"/>
        <v>E</v>
      </c>
      <c r="T16" s="127">
        <f t="shared" si="0"/>
        <v>11</v>
      </c>
      <c r="U16" s="161">
        <v>0</v>
      </c>
      <c r="V16" s="161">
        <v>2</v>
      </c>
      <c r="W16" s="153">
        <f t="shared" si="4"/>
        <v>2</v>
      </c>
    </row>
    <row r="17" spans="1:23" ht="23.45" customHeight="1" x14ac:dyDescent="0.25">
      <c r="A17" s="169">
        <v>6</v>
      </c>
      <c r="B17" s="105" t="s">
        <v>131</v>
      </c>
      <c r="C17" s="105" t="s">
        <v>352</v>
      </c>
      <c r="D17" s="105" t="s">
        <v>31</v>
      </c>
      <c r="E17" s="480" t="s">
        <v>353</v>
      </c>
      <c r="F17" s="481"/>
      <c r="G17" s="161">
        <v>38</v>
      </c>
      <c r="H17" s="162">
        <v>51</v>
      </c>
      <c r="I17" s="161">
        <v>20</v>
      </c>
      <c r="J17" s="215">
        <v>31</v>
      </c>
      <c r="K17" s="161">
        <v>24</v>
      </c>
      <c r="L17" s="215">
        <v>20</v>
      </c>
      <c r="M17" s="162">
        <v>30</v>
      </c>
      <c r="N17" s="162">
        <v>52</v>
      </c>
      <c r="O17" s="161">
        <v>50</v>
      </c>
      <c r="P17" s="210">
        <v>55</v>
      </c>
      <c r="Q17" s="142">
        <f t="shared" si="1"/>
        <v>363</v>
      </c>
      <c r="R17" s="131">
        <f t="shared" si="2"/>
        <v>25.03448275862069</v>
      </c>
      <c r="S17" s="132" t="str">
        <f t="shared" si="3"/>
        <v>E</v>
      </c>
      <c r="T17" s="127">
        <f t="shared" si="0"/>
        <v>14</v>
      </c>
      <c r="U17" s="161">
        <v>3</v>
      </c>
      <c r="V17" s="161">
        <v>5</v>
      </c>
      <c r="W17" s="153">
        <f t="shared" si="4"/>
        <v>8</v>
      </c>
    </row>
    <row r="18" spans="1:23" ht="23.45" customHeight="1" x14ac:dyDescent="0.25">
      <c r="A18" s="169">
        <v>7</v>
      </c>
      <c r="B18" s="105" t="s">
        <v>319</v>
      </c>
      <c r="C18" s="105" t="s">
        <v>328</v>
      </c>
      <c r="D18" s="105" t="s">
        <v>32</v>
      </c>
      <c r="E18" s="480" t="s">
        <v>354</v>
      </c>
      <c r="F18" s="481"/>
      <c r="G18" s="161">
        <v>51</v>
      </c>
      <c r="H18" s="162">
        <v>39</v>
      </c>
      <c r="I18" s="161">
        <v>26</v>
      </c>
      <c r="J18" s="215">
        <v>20</v>
      </c>
      <c r="K18" s="161">
        <v>24</v>
      </c>
      <c r="L18" s="215">
        <v>20</v>
      </c>
      <c r="M18" s="162">
        <v>75</v>
      </c>
      <c r="N18" s="162">
        <v>80</v>
      </c>
      <c r="O18" s="161">
        <v>88</v>
      </c>
      <c r="P18" s="210">
        <v>80</v>
      </c>
      <c r="Q18" s="142">
        <f t="shared" si="1"/>
        <v>503</v>
      </c>
      <c r="R18" s="131">
        <f t="shared" si="2"/>
        <v>34.689655172413794</v>
      </c>
      <c r="S18" s="132" t="str">
        <f t="shared" si="3"/>
        <v>D</v>
      </c>
      <c r="T18" s="127">
        <f t="shared" si="0"/>
        <v>5</v>
      </c>
      <c r="U18" s="161">
        <v>0</v>
      </c>
      <c r="V18" s="161">
        <v>0</v>
      </c>
      <c r="W18" s="153">
        <f t="shared" si="4"/>
        <v>0</v>
      </c>
    </row>
    <row r="19" spans="1:23" ht="23.45" customHeight="1" x14ac:dyDescent="0.25">
      <c r="A19" s="169">
        <v>8</v>
      </c>
      <c r="B19" s="105" t="s">
        <v>320</v>
      </c>
      <c r="C19" s="105" t="s">
        <v>329</v>
      </c>
      <c r="D19" s="105" t="s">
        <v>31</v>
      </c>
      <c r="E19" s="480" t="s">
        <v>355</v>
      </c>
      <c r="F19" s="481"/>
      <c r="G19" s="161">
        <v>39</v>
      </c>
      <c r="H19" s="162">
        <v>30</v>
      </c>
      <c r="I19" s="161">
        <v>24</v>
      </c>
      <c r="J19" s="215">
        <v>36</v>
      </c>
      <c r="K19" s="161">
        <v>22</v>
      </c>
      <c r="L19" s="215">
        <v>20</v>
      </c>
      <c r="M19" s="162">
        <v>70</v>
      </c>
      <c r="N19" s="162">
        <v>65</v>
      </c>
      <c r="O19" s="161">
        <v>40</v>
      </c>
      <c r="P19" s="210">
        <v>88</v>
      </c>
      <c r="Q19" s="142">
        <f t="shared" si="1"/>
        <v>433</v>
      </c>
      <c r="R19" s="131">
        <f t="shared" si="2"/>
        <v>29.862068965517242</v>
      </c>
      <c r="S19" s="132" t="str">
        <f t="shared" si="3"/>
        <v>E</v>
      </c>
      <c r="T19" s="127">
        <f t="shared" si="0"/>
        <v>10</v>
      </c>
      <c r="U19" s="161">
        <v>1</v>
      </c>
      <c r="V19" s="161">
        <v>0</v>
      </c>
      <c r="W19" s="153">
        <f t="shared" si="4"/>
        <v>1</v>
      </c>
    </row>
    <row r="20" spans="1:23" ht="23.45" customHeight="1" x14ac:dyDescent="0.25">
      <c r="A20" s="169">
        <v>9</v>
      </c>
      <c r="B20" s="105" t="s">
        <v>320</v>
      </c>
      <c r="C20" s="105" t="s">
        <v>330</v>
      </c>
      <c r="D20" s="105" t="s">
        <v>31</v>
      </c>
      <c r="E20" s="480" t="s">
        <v>356</v>
      </c>
      <c r="F20" s="481"/>
      <c r="G20" s="161">
        <v>39</v>
      </c>
      <c r="H20" s="162">
        <v>44</v>
      </c>
      <c r="I20" s="161">
        <v>18</v>
      </c>
      <c r="J20" s="215">
        <v>27</v>
      </c>
      <c r="K20" s="161">
        <v>20</v>
      </c>
      <c r="L20" s="215">
        <v>20</v>
      </c>
      <c r="M20" s="162">
        <v>60</v>
      </c>
      <c r="N20" s="162">
        <v>55</v>
      </c>
      <c r="O20" s="161">
        <v>33</v>
      </c>
      <c r="P20" s="210">
        <v>65</v>
      </c>
      <c r="Q20" s="142">
        <f t="shared" si="1"/>
        <v>380</v>
      </c>
      <c r="R20" s="131">
        <f t="shared" si="2"/>
        <v>26.206896551724139</v>
      </c>
      <c r="S20" s="132" t="str">
        <f t="shared" si="3"/>
        <v>E</v>
      </c>
      <c r="T20" s="127">
        <f t="shared" si="0"/>
        <v>13</v>
      </c>
      <c r="U20" s="161">
        <v>1</v>
      </c>
      <c r="V20" s="161">
        <v>0</v>
      </c>
      <c r="W20" s="153">
        <f t="shared" si="4"/>
        <v>1</v>
      </c>
    </row>
    <row r="21" spans="1:23" ht="23.45" customHeight="1" x14ac:dyDescent="0.25">
      <c r="A21" s="169">
        <v>10</v>
      </c>
      <c r="B21" s="105" t="s">
        <v>321</v>
      </c>
      <c r="C21" s="105" t="s">
        <v>331</v>
      </c>
      <c r="D21" s="105" t="s">
        <v>32</v>
      </c>
      <c r="E21" s="480" t="s">
        <v>159</v>
      </c>
      <c r="F21" s="481"/>
      <c r="G21" s="161">
        <v>50</v>
      </c>
      <c r="H21" s="162">
        <v>51</v>
      </c>
      <c r="I21" s="161">
        <v>39</v>
      </c>
      <c r="J21" s="215">
        <v>34</v>
      </c>
      <c r="K21" s="161">
        <v>22</v>
      </c>
      <c r="L21" s="215">
        <v>20</v>
      </c>
      <c r="M21" s="162">
        <v>80</v>
      </c>
      <c r="N21" s="162">
        <v>75</v>
      </c>
      <c r="O21" s="161">
        <v>83</v>
      </c>
      <c r="P21" s="210">
        <v>100</v>
      </c>
      <c r="Q21" s="141">
        <f t="shared" si="1"/>
        <v>554</v>
      </c>
      <c r="R21" s="145">
        <f t="shared" si="2"/>
        <v>38.206896551724135</v>
      </c>
      <c r="S21" s="146" t="str">
        <f t="shared" si="3"/>
        <v>C</v>
      </c>
      <c r="T21" s="130">
        <f t="shared" si="0"/>
        <v>3</v>
      </c>
      <c r="U21" s="161">
        <v>0</v>
      </c>
      <c r="V21" s="161">
        <v>0</v>
      </c>
      <c r="W21" s="153">
        <f t="shared" si="4"/>
        <v>0</v>
      </c>
    </row>
    <row r="22" spans="1:23" ht="23.45" customHeight="1" x14ac:dyDescent="0.25">
      <c r="A22" s="169">
        <v>11</v>
      </c>
      <c r="B22" s="105" t="s">
        <v>322</v>
      </c>
      <c r="C22" s="105" t="s">
        <v>111</v>
      </c>
      <c r="D22" s="105" t="s">
        <v>31</v>
      </c>
      <c r="E22" s="480" t="s">
        <v>337</v>
      </c>
      <c r="F22" s="481"/>
      <c r="G22" s="161">
        <v>39</v>
      </c>
      <c r="H22" s="162">
        <v>51</v>
      </c>
      <c r="I22" s="161">
        <v>15</v>
      </c>
      <c r="J22" s="215">
        <v>42</v>
      </c>
      <c r="K22" s="161">
        <v>22</v>
      </c>
      <c r="L22" s="215">
        <v>20</v>
      </c>
      <c r="M22" s="162">
        <v>70</v>
      </c>
      <c r="N22" s="162">
        <v>70</v>
      </c>
      <c r="O22" s="161">
        <v>75</v>
      </c>
      <c r="P22" s="210">
        <v>83</v>
      </c>
      <c r="Q22" s="142">
        <f t="shared" si="1"/>
        <v>487</v>
      </c>
      <c r="R22" s="131">
        <f t="shared" si="2"/>
        <v>33.586206896551722</v>
      </c>
      <c r="S22" s="132" t="str">
        <f t="shared" si="3"/>
        <v>D</v>
      </c>
      <c r="T22" s="127">
        <f t="shared" si="0"/>
        <v>6</v>
      </c>
      <c r="U22" s="161">
        <v>0</v>
      </c>
      <c r="V22" s="161">
        <v>0</v>
      </c>
      <c r="W22" s="153">
        <f t="shared" si="4"/>
        <v>0</v>
      </c>
    </row>
    <row r="23" spans="1:23" ht="23.45" customHeight="1" x14ac:dyDescent="0.25">
      <c r="A23" s="169">
        <v>12</v>
      </c>
      <c r="B23" s="105" t="s">
        <v>323</v>
      </c>
      <c r="C23" s="105" t="s">
        <v>332</v>
      </c>
      <c r="D23" s="105" t="s">
        <v>31</v>
      </c>
      <c r="E23" s="480" t="s">
        <v>338</v>
      </c>
      <c r="F23" s="481"/>
      <c r="G23" s="161">
        <v>50</v>
      </c>
      <c r="H23" s="162">
        <v>51</v>
      </c>
      <c r="I23" s="161">
        <v>32</v>
      </c>
      <c r="J23" s="215">
        <v>31</v>
      </c>
      <c r="K23" s="161">
        <v>15</v>
      </c>
      <c r="L23" s="215">
        <v>20</v>
      </c>
      <c r="M23" s="162">
        <v>65</v>
      </c>
      <c r="N23" s="162">
        <v>70</v>
      </c>
      <c r="O23" s="161">
        <v>35</v>
      </c>
      <c r="P23" s="210">
        <v>95</v>
      </c>
      <c r="Q23" s="142">
        <f t="shared" si="1"/>
        <v>461</v>
      </c>
      <c r="R23" s="131">
        <f t="shared" si="2"/>
        <v>31.793103448275861</v>
      </c>
      <c r="S23" s="132" t="str">
        <f t="shared" si="3"/>
        <v>D</v>
      </c>
      <c r="T23" s="127">
        <f t="shared" si="0"/>
        <v>8</v>
      </c>
      <c r="U23" s="161">
        <v>3</v>
      </c>
      <c r="V23" s="161">
        <v>0</v>
      </c>
      <c r="W23" s="153">
        <f t="shared" si="4"/>
        <v>3</v>
      </c>
    </row>
    <row r="24" spans="1:23" ht="23.45" customHeight="1" x14ac:dyDescent="0.25">
      <c r="A24" s="169">
        <v>13</v>
      </c>
      <c r="B24" s="105" t="s">
        <v>324</v>
      </c>
      <c r="C24" s="105" t="s">
        <v>333</v>
      </c>
      <c r="D24" s="105" t="s">
        <v>32</v>
      </c>
      <c r="E24" s="480" t="s">
        <v>339</v>
      </c>
      <c r="F24" s="481"/>
      <c r="G24" s="161">
        <v>49</v>
      </c>
      <c r="H24" s="162">
        <v>42</v>
      </c>
      <c r="I24" s="161">
        <v>28</v>
      </c>
      <c r="J24" s="215">
        <v>36</v>
      </c>
      <c r="K24" s="161">
        <v>25</v>
      </c>
      <c r="L24" s="215">
        <v>20</v>
      </c>
      <c r="M24" s="162">
        <v>30</v>
      </c>
      <c r="N24" s="162">
        <v>75</v>
      </c>
      <c r="O24" s="161">
        <v>18</v>
      </c>
      <c r="P24" s="210">
        <v>65</v>
      </c>
      <c r="Q24" s="142">
        <f t="shared" si="1"/>
        <v>386</v>
      </c>
      <c r="R24" s="131">
        <f t="shared" si="2"/>
        <v>26.620689655172413</v>
      </c>
      <c r="S24" s="132" t="str">
        <f t="shared" si="3"/>
        <v>E</v>
      </c>
      <c r="T24" s="127">
        <f t="shared" si="0"/>
        <v>12</v>
      </c>
      <c r="U24" s="161">
        <v>2</v>
      </c>
      <c r="V24" s="161">
        <v>0</v>
      </c>
      <c r="W24" s="153">
        <f t="shared" si="4"/>
        <v>2</v>
      </c>
    </row>
    <row r="25" spans="1:23" ht="23.45" customHeight="1" x14ac:dyDescent="0.25">
      <c r="A25" s="211">
        <v>14</v>
      </c>
      <c r="B25" s="212" t="s">
        <v>257</v>
      </c>
      <c r="C25" s="212" t="s">
        <v>335</v>
      </c>
      <c r="D25" s="212" t="s">
        <v>31</v>
      </c>
      <c r="E25" s="484" t="s">
        <v>340</v>
      </c>
      <c r="F25" s="485"/>
      <c r="G25" s="213">
        <v>0</v>
      </c>
      <c r="H25" s="216">
        <v>0</v>
      </c>
      <c r="I25" s="213">
        <v>0</v>
      </c>
      <c r="J25" s="217">
        <v>0</v>
      </c>
      <c r="K25" s="213">
        <v>0</v>
      </c>
      <c r="L25" s="217">
        <v>0</v>
      </c>
      <c r="M25" s="216">
        <v>0</v>
      </c>
      <c r="N25" s="216">
        <v>0</v>
      </c>
      <c r="O25" s="213">
        <v>0</v>
      </c>
      <c r="P25" s="214">
        <v>0</v>
      </c>
      <c r="Q25" s="201">
        <f>SUM(G25:P25)-W25</f>
        <v>0</v>
      </c>
      <c r="R25" s="202">
        <f>Q25/14.5</f>
        <v>0</v>
      </c>
      <c r="S25" s="203" t="str">
        <f t="shared" si="3"/>
        <v>NA</v>
      </c>
      <c r="T25" s="204">
        <f t="shared" si="0"/>
        <v>15</v>
      </c>
      <c r="U25" s="213">
        <v>0</v>
      </c>
      <c r="V25" s="213">
        <v>0</v>
      </c>
      <c r="W25" s="206">
        <f t="shared" si="4"/>
        <v>0</v>
      </c>
    </row>
    <row r="26" spans="1:23" ht="21" customHeight="1" x14ac:dyDescent="0.25">
      <c r="A26" s="169">
        <v>15</v>
      </c>
      <c r="B26" s="114" t="s">
        <v>231</v>
      </c>
      <c r="C26" s="114" t="s">
        <v>336</v>
      </c>
      <c r="D26" s="114" t="s">
        <v>31</v>
      </c>
      <c r="E26" s="384" t="s">
        <v>341</v>
      </c>
      <c r="F26" s="385"/>
      <c r="G26" s="161">
        <v>42</v>
      </c>
      <c r="H26" s="162">
        <v>49</v>
      </c>
      <c r="I26" s="161">
        <v>25</v>
      </c>
      <c r="J26" s="215">
        <v>39</v>
      </c>
      <c r="K26" s="161">
        <v>23</v>
      </c>
      <c r="L26" s="215">
        <v>20</v>
      </c>
      <c r="M26" s="162">
        <v>70</v>
      </c>
      <c r="N26" s="162">
        <v>70</v>
      </c>
      <c r="O26" s="161">
        <v>70</v>
      </c>
      <c r="P26" s="210">
        <v>78</v>
      </c>
      <c r="Q26" s="142">
        <f t="shared" si="1"/>
        <v>486</v>
      </c>
      <c r="R26" s="131">
        <f t="shared" si="2"/>
        <v>33.517241379310342</v>
      </c>
      <c r="S26" s="132" t="str">
        <f t="shared" si="3"/>
        <v>D</v>
      </c>
      <c r="T26" s="127">
        <f t="shared" si="0"/>
        <v>7</v>
      </c>
      <c r="U26" s="161">
        <v>0</v>
      </c>
      <c r="V26" s="161">
        <v>0</v>
      </c>
      <c r="W26" s="153">
        <f t="shared" si="4"/>
        <v>0</v>
      </c>
    </row>
    <row r="27" spans="1:23" ht="23.25" hidden="1" customHeight="1" x14ac:dyDescent="0.25">
      <c r="B27" s="140" t="s">
        <v>231</v>
      </c>
      <c r="C27" s="140" t="s">
        <v>336</v>
      </c>
      <c r="D27" s="140" t="s">
        <v>31</v>
      </c>
      <c r="E27" s="373" t="s">
        <v>341</v>
      </c>
      <c r="F27" s="373"/>
      <c r="G27" s="118">
        <v>51</v>
      </c>
      <c r="H27" s="119">
        <v>38</v>
      </c>
      <c r="I27" s="119">
        <v>25</v>
      </c>
      <c r="J27" s="120"/>
      <c r="K27" s="119">
        <v>17</v>
      </c>
      <c r="L27" s="121">
        <v>20</v>
      </c>
      <c r="M27" s="122">
        <v>83</v>
      </c>
      <c r="N27" s="119">
        <v>85</v>
      </c>
      <c r="O27" s="123">
        <v>78</v>
      </c>
      <c r="P27" s="123">
        <v>99</v>
      </c>
      <c r="U27" s="119">
        <v>0</v>
      </c>
      <c r="V27" s="119">
        <v>0</v>
      </c>
      <c r="W27" s="143">
        <v>0</v>
      </c>
    </row>
    <row r="28" spans="1:23" ht="23.25" hidden="1" customHeight="1" x14ac:dyDescent="0.25">
      <c r="B28"/>
      <c r="C28"/>
      <c r="L28" s="115">
        <v>20</v>
      </c>
    </row>
    <row r="29" spans="1:23" ht="23.25" hidden="1" customHeight="1" x14ac:dyDescent="0.25">
      <c r="B29"/>
      <c r="C29"/>
      <c r="L29" s="115">
        <v>20</v>
      </c>
    </row>
    <row r="30" spans="1:23" ht="23.25" hidden="1" customHeight="1" x14ac:dyDescent="0.25">
      <c r="B30"/>
      <c r="C30"/>
      <c r="L30" s="115">
        <v>20</v>
      </c>
    </row>
    <row r="31" spans="1:23" ht="23.25" hidden="1" customHeight="1" x14ac:dyDescent="0.25">
      <c r="B31"/>
      <c r="C31"/>
      <c r="L31" s="115">
        <v>20</v>
      </c>
    </row>
    <row r="32" spans="1:23" ht="3.75" hidden="1" customHeight="1" x14ac:dyDescent="0.25">
      <c r="B32"/>
      <c r="C32"/>
      <c r="L32" s="116">
        <v>20</v>
      </c>
    </row>
    <row r="33" spans="1:21" ht="23.25" hidden="1" customHeight="1" x14ac:dyDescent="0.25">
      <c r="B33"/>
      <c r="C33"/>
    </row>
    <row r="34" spans="1:21" ht="30" customHeight="1" x14ac:dyDescent="0.25">
      <c r="A34" s="374" t="str">
        <f>"បញ្ឈប់បញ្ជីត្រឹមឈ្មោះ ឡេង សុវណ្ណតារា  "&amp;"      ចំនួនសរុប  "&amp;COUNT(A12:A26)&amp;"  នាក់"&amp;"      ក្នុងនោះស្រី  "&amp;COUNTIF(D12:D26,"ស")&amp;"  នាក់ ។"</f>
        <v>បញ្ឈប់បញ្ជីត្រឹមឈ្មោះ ឡេង សុវណ្ណតារា        ចំនួនសរុប  15  នាក់      ក្នុងនោះស្រី  5  នាក់ ។</v>
      </c>
      <c r="B34" s="374"/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9"/>
      <c r="P34" s="9"/>
      <c r="Q34" s="10"/>
      <c r="R34" s="9"/>
      <c r="S34" s="9"/>
    </row>
    <row r="35" spans="1:21" ht="25.5" x14ac:dyDescent="0.25">
      <c r="B35" s="93" t="s">
        <v>34</v>
      </c>
      <c r="C35" s="93"/>
    </row>
    <row r="36" spans="1:21" ht="21" x14ac:dyDescent="0.6">
      <c r="B36" s="375" t="s">
        <v>51</v>
      </c>
      <c r="C36" s="376"/>
      <c r="D36" s="48" t="s">
        <v>8</v>
      </c>
      <c r="E36" s="377" t="s">
        <v>39</v>
      </c>
      <c r="F36" s="378"/>
    </row>
    <row r="37" spans="1:21" ht="23.25" x14ac:dyDescent="0.65">
      <c r="B37" s="380" t="s">
        <v>79</v>
      </c>
      <c r="C37" s="381"/>
      <c r="D37" s="42" t="s">
        <v>26</v>
      </c>
      <c r="E37" s="382" t="s">
        <v>52</v>
      </c>
      <c r="F37" s="383"/>
      <c r="Q37" s="23"/>
    </row>
    <row r="38" spans="1:21" ht="21.95" customHeight="1" x14ac:dyDescent="0.25">
      <c r="B38" s="365" t="s">
        <v>80</v>
      </c>
      <c r="C38" s="366"/>
      <c r="D38" s="43" t="s">
        <v>27</v>
      </c>
      <c r="E38" s="367" t="s">
        <v>35</v>
      </c>
      <c r="F38" s="368"/>
    </row>
    <row r="39" spans="1:21" ht="21.95" customHeight="1" x14ac:dyDescent="0.25">
      <c r="B39" s="369" t="s">
        <v>81</v>
      </c>
      <c r="C39" s="370"/>
      <c r="D39" s="44" t="s">
        <v>28</v>
      </c>
      <c r="E39" s="371" t="s">
        <v>36</v>
      </c>
      <c r="F39" s="372"/>
      <c r="I39" s="38"/>
      <c r="J39" s="39"/>
      <c r="K39" s="38"/>
      <c r="L39" s="39"/>
      <c r="M39" s="38"/>
      <c r="N39" s="379"/>
      <c r="O39" s="379"/>
      <c r="P39" s="379"/>
    </row>
    <row r="40" spans="1:21" ht="24.95" customHeight="1" x14ac:dyDescent="0.25">
      <c r="A40" s="41"/>
      <c r="B40" s="329" t="s">
        <v>82</v>
      </c>
      <c r="C40" s="330"/>
      <c r="D40" s="45" t="s">
        <v>29</v>
      </c>
      <c r="E40" s="331" t="s">
        <v>42</v>
      </c>
      <c r="F40" s="332"/>
      <c r="I40" s="25"/>
      <c r="J40" s="26"/>
      <c r="K40" s="26"/>
      <c r="L40" s="26"/>
      <c r="M40" s="26"/>
      <c r="N40" s="8"/>
      <c r="O40" s="8"/>
      <c r="P40" s="8"/>
    </row>
    <row r="41" spans="1:21" ht="24.95" customHeight="1" x14ac:dyDescent="0.8">
      <c r="A41" s="31"/>
      <c r="B41" s="333" t="s">
        <v>83</v>
      </c>
      <c r="C41" s="334"/>
      <c r="D41" s="46" t="s">
        <v>41</v>
      </c>
      <c r="E41" s="335" t="s">
        <v>37</v>
      </c>
      <c r="F41" s="336"/>
      <c r="I41" s="26"/>
      <c r="J41" s="26"/>
      <c r="K41" s="26"/>
      <c r="L41" s="13"/>
      <c r="M41" s="13"/>
      <c r="N41" s="13"/>
      <c r="O41" s="13"/>
      <c r="P41" s="13"/>
    </row>
    <row r="42" spans="1:21" ht="24.95" customHeight="1" x14ac:dyDescent="0.8">
      <c r="A42" s="31"/>
      <c r="B42" s="337" t="s">
        <v>84</v>
      </c>
      <c r="C42" s="338"/>
      <c r="D42" s="47" t="s">
        <v>30</v>
      </c>
      <c r="E42" s="339" t="s">
        <v>38</v>
      </c>
      <c r="F42" s="339"/>
      <c r="G42" s="71"/>
      <c r="H42" s="71"/>
      <c r="I42" s="26"/>
      <c r="J42" s="26"/>
      <c r="K42" s="26"/>
      <c r="L42" s="13"/>
      <c r="M42" s="13"/>
      <c r="N42" s="13"/>
      <c r="O42" s="13"/>
      <c r="P42" s="13"/>
    </row>
    <row r="43" spans="1:21" ht="32.25" customHeight="1" x14ac:dyDescent="0.8">
      <c r="A43" s="31"/>
      <c r="B43" s="345" t="s">
        <v>92</v>
      </c>
      <c r="C43" s="345"/>
      <c r="D43" s="345"/>
      <c r="E43" s="345"/>
      <c r="F43" s="345"/>
      <c r="G43" s="346"/>
      <c r="H43" s="346"/>
      <c r="I43" s="346"/>
      <c r="J43" s="26"/>
      <c r="K43" s="26"/>
      <c r="L43" s="13"/>
      <c r="M43" s="13"/>
      <c r="N43" s="13"/>
      <c r="O43" s="13"/>
      <c r="P43" s="13"/>
    </row>
    <row r="44" spans="1:21" ht="23.25" x14ac:dyDescent="0.65">
      <c r="A44" s="252" t="s">
        <v>33</v>
      </c>
      <c r="B44" s="252"/>
      <c r="C44" s="252"/>
      <c r="D44" s="252"/>
      <c r="E44" s="347"/>
      <c r="F44" s="69" t="s">
        <v>3</v>
      </c>
      <c r="G44" s="70" t="s">
        <v>4</v>
      </c>
      <c r="I44" s="26"/>
      <c r="J44" s="26"/>
      <c r="K44" s="26"/>
      <c r="L44" s="13"/>
      <c r="M44" s="13"/>
      <c r="N44" s="9"/>
    </row>
    <row r="45" spans="1:21" ht="25.5" customHeight="1" x14ac:dyDescent="0.6">
      <c r="B45" s="352" t="s">
        <v>55</v>
      </c>
      <c r="C45" s="353"/>
      <c r="D45" s="356" t="s">
        <v>67</v>
      </c>
      <c r="E45" s="357"/>
      <c r="F45" s="67">
        <f>D48+F48</f>
        <v>14</v>
      </c>
      <c r="G45" s="68">
        <f>E48+G48</f>
        <v>5</v>
      </c>
      <c r="H45" s="358" t="s">
        <v>8</v>
      </c>
      <c r="I45" s="359"/>
      <c r="J45" s="359"/>
      <c r="K45" s="359"/>
      <c r="L45" s="359"/>
      <c r="M45" s="359"/>
      <c r="N45" s="359"/>
      <c r="O45" s="359"/>
      <c r="P45" s="359"/>
      <c r="Q45" s="359"/>
      <c r="R45" s="359"/>
      <c r="S45" s="360"/>
      <c r="T45" s="80" t="s">
        <v>85</v>
      </c>
      <c r="U45" s="80"/>
    </row>
    <row r="46" spans="1:21" ht="39.75" customHeight="1" x14ac:dyDescent="0.25">
      <c r="A46" s="8"/>
      <c r="B46" s="354"/>
      <c r="C46" s="355"/>
      <c r="D46" s="361" t="s">
        <v>77</v>
      </c>
      <c r="E46" s="362"/>
      <c r="F46" s="363" t="s">
        <v>86</v>
      </c>
      <c r="G46" s="364"/>
      <c r="H46" s="341" t="s">
        <v>26</v>
      </c>
      <c r="I46" s="342"/>
      <c r="J46" s="341" t="s">
        <v>27</v>
      </c>
      <c r="K46" s="342"/>
      <c r="L46" s="341" t="s">
        <v>28</v>
      </c>
      <c r="M46" s="342"/>
      <c r="N46" s="341" t="s">
        <v>29</v>
      </c>
      <c r="O46" s="342"/>
      <c r="P46" s="343" t="s">
        <v>41</v>
      </c>
      <c r="Q46" s="344"/>
      <c r="R46" s="348" t="s">
        <v>88</v>
      </c>
      <c r="S46" s="349"/>
      <c r="T46" s="80"/>
      <c r="U46" s="80"/>
    </row>
    <row r="47" spans="1:21" ht="23.25" x14ac:dyDescent="0.6">
      <c r="A47" s="8"/>
      <c r="B47" s="4" t="s">
        <v>3</v>
      </c>
      <c r="C47" s="33" t="s">
        <v>4</v>
      </c>
      <c r="D47" s="4" t="s">
        <v>3</v>
      </c>
      <c r="E47" s="33" t="s">
        <v>4</v>
      </c>
      <c r="F47" s="4" t="s">
        <v>3</v>
      </c>
      <c r="G47" s="33" t="s">
        <v>4</v>
      </c>
      <c r="H47" s="4" t="s">
        <v>3</v>
      </c>
      <c r="I47" s="52" t="s">
        <v>4</v>
      </c>
      <c r="J47" s="40" t="s">
        <v>3</v>
      </c>
      <c r="K47" s="33" t="s">
        <v>4</v>
      </c>
      <c r="L47" s="4" t="s">
        <v>3</v>
      </c>
      <c r="M47" s="33" t="s">
        <v>4</v>
      </c>
      <c r="N47" s="4" t="s">
        <v>3</v>
      </c>
      <c r="O47" s="33" t="s">
        <v>4</v>
      </c>
      <c r="P47" s="4" t="s">
        <v>3</v>
      </c>
      <c r="Q47" s="33" t="s">
        <v>4</v>
      </c>
      <c r="R47" s="63" t="s">
        <v>3</v>
      </c>
      <c r="S47" s="64" t="s">
        <v>4</v>
      </c>
      <c r="T47" s="33"/>
      <c r="U47" s="4"/>
    </row>
    <row r="48" spans="1:21" ht="23.25" customHeight="1" x14ac:dyDescent="0.25">
      <c r="A48" s="107"/>
      <c r="B48" s="55">
        <f>COUNT(A12:A26)</f>
        <v>15</v>
      </c>
      <c r="C48" s="56">
        <f>COUNTIF(D12:D26,"ស")</f>
        <v>5</v>
      </c>
      <c r="D48" s="55">
        <f>SUM(H48,J48,L48,N48,P48)</f>
        <v>14</v>
      </c>
      <c r="E48" s="56">
        <f>SUM(I48,K48,M48,O48,Q48)</f>
        <v>5</v>
      </c>
      <c r="F48" s="32">
        <f>COUNTIF(S12:S26,"F")</f>
        <v>0</v>
      </c>
      <c r="G48" s="34">
        <f>COUNTIFS(S12:S26,"F",D12:D26,"ស")</f>
        <v>0</v>
      </c>
      <c r="H48" s="35">
        <f>COUNTIF(S12:S26,"A")</f>
        <v>0</v>
      </c>
      <c r="I48" s="34">
        <f>COUNTIFS(S12:S26,"A",D12:D26,"ស")</f>
        <v>0</v>
      </c>
      <c r="J48" s="35">
        <f>COUNTIF(S12:S26,"B")</f>
        <v>2</v>
      </c>
      <c r="K48" s="34">
        <f>COUNTIFS(S12:S26,"B",D12:D26,"ស")</f>
        <v>0</v>
      </c>
      <c r="L48" s="35">
        <f>COUNTIF(S12:S26,"C")</f>
        <v>2</v>
      </c>
      <c r="M48" s="34">
        <f>COUNTIFS(S12:S26,"C",D12:D26,"ស")</f>
        <v>2</v>
      </c>
      <c r="N48" s="35">
        <f>COUNTIF(S12:S26,"D")</f>
        <v>5</v>
      </c>
      <c r="O48" s="34">
        <f>COUNTIFS(S12:S26,"D",D12:D26,"ស")</f>
        <v>1</v>
      </c>
      <c r="P48" s="35">
        <f>COUNTIF(S12:S26,"E")</f>
        <v>5</v>
      </c>
      <c r="Q48" s="34">
        <f>COUNTIFS(S12:S26,"E",D12:D26,"ស")</f>
        <v>2</v>
      </c>
      <c r="R48" s="65">
        <f>COUNTIF(S12:S26,"NA")</f>
        <v>1</v>
      </c>
      <c r="S48" s="66">
        <f>COUNTIFS(S12:S26,"NA",D12:D26,"ស")</f>
        <v>0</v>
      </c>
      <c r="T48" s="34"/>
      <c r="U48" s="55"/>
    </row>
    <row r="49" spans="1:23" ht="1.5" customHeight="1" x14ac:dyDescent="0.25">
      <c r="A49" s="8"/>
    </row>
    <row r="50" spans="1:23" ht="23.25" x14ac:dyDescent="0.35">
      <c r="B50" s="95"/>
      <c r="D50" s="54"/>
      <c r="O50" s="350" t="str">
        <f>ស្ថិតិលទ្ធផលសិក្សាតាមនិទ្ទេស!N68</f>
        <v>ថ្ងៃអង្គារ  ១៣កើត ខែចេត្រ ឆ្នាំម្សាញ់ សប្តស័ក ព.ស ២៥៦៩</v>
      </c>
      <c r="P50" s="350"/>
      <c r="Q50" s="350"/>
      <c r="R50" s="350"/>
      <c r="S50" s="350"/>
      <c r="T50" s="350"/>
      <c r="U50" s="350"/>
      <c r="V50" s="350"/>
      <c r="W50" s="350"/>
    </row>
    <row r="51" spans="1:23" ht="22.5" customHeight="1" x14ac:dyDescent="0.25">
      <c r="A51" s="30"/>
      <c r="B51" s="96"/>
      <c r="C51" s="96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9"/>
      <c r="O51" s="351" t="str">
        <f>ស្ថិតិលទ្ធផលសិក្សាតាមនិទ្ទេស!$N$69</f>
        <v>ធ្វើនៅដុនបូស្កូប៉ោយប៉ែត ថ្ងៃទី៣១ខែ មីនាឆ្នាំ ២០២៦</v>
      </c>
      <c r="P51" s="351"/>
      <c r="Q51" s="351"/>
      <c r="R51" s="351"/>
      <c r="S51" s="351"/>
      <c r="T51" s="351"/>
      <c r="U51" s="351"/>
      <c r="V51" s="351"/>
      <c r="W51" s="351"/>
    </row>
    <row r="52" spans="1:23" ht="24.95" customHeight="1" x14ac:dyDescent="0.65">
      <c r="A52" s="340" t="s">
        <v>22</v>
      </c>
      <c r="B52" s="340"/>
      <c r="C52" s="340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11"/>
      <c r="O52" s="13"/>
      <c r="P52" s="13"/>
      <c r="Q52" s="321" t="s">
        <v>16</v>
      </c>
      <c r="R52" s="321"/>
      <c r="S52" s="321"/>
      <c r="T52" s="321"/>
      <c r="U52" s="321"/>
      <c r="V52" s="321"/>
      <c r="W52" s="321"/>
    </row>
    <row r="53" spans="1:23" ht="24.75" customHeight="1" x14ac:dyDescent="0.25">
      <c r="A53" s="340" t="str">
        <f>ស្ថិតិលទ្ធផលសិក្សាតាមនិទ្ទេស!A73</f>
        <v>នាយកសាលា</v>
      </c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13"/>
      <c r="O53" s="13"/>
      <c r="P53" s="13"/>
      <c r="Q53" s="18"/>
      <c r="R53" s="19"/>
      <c r="S53" s="16"/>
    </row>
    <row r="54" spans="1:23" ht="21" customHeight="1" x14ac:dyDescent="0.25">
      <c r="N54" s="16"/>
      <c r="O54" s="16"/>
      <c r="P54" s="16"/>
      <c r="Q54" s="21"/>
      <c r="R54" s="16"/>
      <c r="S54" s="16"/>
    </row>
    <row r="55" spans="1:23" ht="21" x14ac:dyDescent="0.25">
      <c r="A55" s="14"/>
      <c r="B55" s="97"/>
      <c r="C55" s="97"/>
      <c r="D55" s="22"/>
      <c r="E55" s="22"/>
      <c r="F55" s="22"/>
      <c r="G55" s="22"/>
      <c r="I55" s="22"/>
      <c r="J55" s="17"/>
      <c r="K55" s="15"/>
      <c r="L55" s="15"/>
      <c r="M55" s="20"/>
      <c r="N55" s="16"/>
      <c r="O55" s="16"/>
      <c r="P55" s="16"/>
      <c r="Q55" s="21"/>
      <c r="R55" s="16"/>
      <c r="S55" s="16"/>
    </row>
  </sheetData>
  <mergeCells count="80">
    <mergeCell ref="A53:M53"/>
    <mergeCell ref="N46:O46"/>
    <mergeCell ref="P46:Q46"/>
    <mergeCell ref="R46:S46"/>
    <mergeCell ref="O50:W50"/>
    <mergeCell ref="O51:W51"/>
    <mergeCell ref="A52:M52"/>
    <mergeCell ref="Q52:W52"/>
    <mergeCell ref="B45:C46"/>
    <mergeCell ref="D45:E45"/>
    <mergeCell ref="H45:S45"/>
    <mergeCell ref="D46:E46"/>
    <mergeCell ref="F46:G46"/>
    <mergeCell ref="H46:I46"/>
    <mergeCell ref="J46:K46"/>
    <mergeCell ref="L46:M46"/>
    <mergeCell ref="B40:C40"/>
    <mergeCell ref="E40:F40"/>
    <mergeCell ref="B41:C41"/>
    <mergeCell ref="E41:F41"/>
    <mergeCell ref="B43:I43"/>
    <mergeCell ref="A44:E44"/>
    <mergeCell ref="E24:F24"/>
    <mergeCell ref="E25:F25"/>
    <mergeCell ref="B42:C42"/>
    <mergeCell ref="E42:F42"/>
    <mergeCell ref="B37:C37"/>
    <mergeCell ref="E37:F37"/>
    <mergeCell ref="B38:C38"/>
    <mergeCell ref="E38:F38"/>
    <mergeCell ref="B39:C39"/>
    <mergeCell ref="E39:F39"/>
    <mergeCell ref="A34:N34"/>
    <mergeCell ref="B36:C36"/>
    <mergeCell ref="E36:F36"/>
    <mergeCell ref="E26:F26"/>
    <mergeCell ref="E27:F27"/>
    <mergeCell ref="N39:P39"/>
    <mergeCell ref="E19:F19"/>
    <mergeCell ref="E20:F20"/>
    <mergeCell ref="E21:F21"/>
    <mergeCell ref="E22:F22"/>
    <mergeCell ref="E23:F23"/>
    <mergeCell ref="E14:F14"/>
    <mergeCell ref="E15:F15"/>
    <mergeCell ref="E16:F16"/>
    <mergeCell ref="E17:F17"/>
    <mergeCell ref="E18:F18"/>
    <mergeCell ref="E13:F13"/>
    <mergeCell ref="R9:R11"/>
    <mergeCell ref="S9:S11"/>
    <mergeCell ref="T9:T11"/>
    <mergeCell ref="U9:W10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E12:F12"/>
    <mergeCell ref="A5:K5"/>
    <mergeCell ref="A6:K6"/>
    <mergeCell ref="A7:W7"/>
    <mergeCell ref="A8:W8"/>
    <mergeCell ref="A9:A11"/>
    <mergeCell ref="B9:B11"/>
    <mergeCell ref="C9:C11"/>
    <mergeCell ref="D9:D11"/>
    <mergeCell ref="E9:F11"/>
    <mergeCell ref="G9:P9"/>
    <mergeCell ref="Q9:Q11"/>
    <mergeCell ref="A1:W1"/>
    <mergeCell ref="A2:W2"/>
    <mergeCell ref="A3:W3"/>
    <mergeCell ref="U4:W4"/>
    <mergeCell ref="A4:K4"/>
  </mergeCells>
  <pageMargins left="0.12" right="0.12" top="0.12" bottom="0.12" header="0.12" footer="0.12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1"/>
  <sheetViews>
    <sheetView view="pageBreakPreview" topLeftCell="A46" zoomScale="115" zoomScaleNormal="85" zoomScaleSheetLayoutView="115" workbookViewId="0">
      <selection activeCell="P27" sqref="P27"/>
    </sheetView>
  </sheetViews>
  <sheetFormatPr defaultRowHeight="15" x14ac:dyDescent="0.25"/>
  <cols>
    <col min="1" max="1" width="5.140625" customWidth="1"/>
    <col min="2" max="3" width="9.28515625" style="94" customWidth="1"/>
    <col min="4" max="4" width="5.5703125" customWidth="1"/>
    <col min="5" max="5" width="11.85546875" customWidth="1"/>
    <col min="6" max="6" width="6.42578125" customWidth="1"/>
    <col min="7" max="16" width="5.5703125" customWidth="1"/>
    <col min="17" max="17" width="6.28515625" customWidth="1"/>
    <col min="18" max="18" width="6.5703125" customWidth="1"/>
    <col min="19" max="20" width="5.5703125" customWidth="1"/>
    <col min="21" max="22" width="5.85546875" customWidth="1"/>
    <col min="23" max="23" width="5.42578125" customWidth="1"/>
  </cols>
  <sheetData>
    <row r="1" spans="1:23" ht="25.5" x14ac:dyDescent="0.25">
      <c r="A1" s="393" t="s">
        <v>13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</row>
    <row r="2" spans="1:23" ht="28.5" x14ac:dyDescent="0.25">
      <c r="A2" s="394" t="s">
        <v>19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</row>
    <row r="3" spans="1:23" ht="15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</row>
    <row r="4" spans="1:23" ht="23.25" x14ac:dyDescent="0.65">
      <c r="A4" s="244" t="s">
        <v>15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7"/>
      <c r="M4" s="7"/>
      <c r="N4" s="7"/>
      <c r="O4" s="7"/>
      <c r="P4" s="7"/>
      <c r="Q4" s="6"/>
      <c r="R4" s="5"/>
      <c r="S4" s="5"/>
      <c r="U4" s="395" t="s">
        <v>64</v>
      </c>
      <c r="V4" s="395"/>
      <c r="W4" s="395"/>
    </row>
    <row r="5" spans="1:23" ht="23.25" x14ac:dyDescent="0.65">
      <c r="A5" s="244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7"/>
      <c r="M5" s="7"/>
      <c r="N5" s="7"/>
      <c r="O5" s="7"/>
      <c r="P5" s="7"/>
      <c r="Q5" s="6"/>
      <c r="R5" s="5"/>
      <c r="S5" s="5"/>
    </row>
    <row r="6" spans="1:23" ht="23.25" x14ac:dyDescent="0.65">
      <c r="A6" s="244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7"/>
      <c r="M6" s="7"/>
      <c r="N6" s="7"/>
      <c r="O6" s="7"/>
      <c r="P6" s="7"/>
      <c r="Q6" s="6"/>
      <c r="R6" s="5"/>
      <c r="S6" s="5"/>
    </row>
    <row r="7" spans="1:23" ht="23.25" x14ac:dyDescent="0.25">
      <c r="A7" s="396" t="s">
        <v>532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</row>
    <row r="8" spans="1:23" ht="21" x14ac:dyDescent="0.25">
      <c r="A8" s="397" t="str">
        <f>មេកានិច១!A8</f>
        <v>ឆ្នាំសិក្សា ២០២៥- ២០២៦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</row>
    <row r="9" spans="1:23" ht="24.95" customHeight="1" x14ac:dyDescent="0.25">
      <c r="A9" s="398" t="s">
        <v>0</v>
      </c>
      <c r="B9" s="398" t="s">
        <v>25</v>
      </c>
      <c r="C9" s="398" t="s">
        <v>20</v>
      </c>
      <c r="D9" s="398" t="s">
        <v>21</v>
      </c>
      <c r="E9" s="398" t="s">
        <v>50</v>
      </c>
      <c r="F9" s="398"/>
      <c r="G9" s="402" t="s">
        <v>23</v>
      </c>
      <c r="H9" s="402"/>
      <c r="I9" s="402"/>
      <c r="J9" s="402"/>
      <c r="K9" s="402"/>
      <c r="L9" s="402"/>
      <c r="M9" s="402"/>
      <c r="N9" s="402"/>
      <c r="O9" s="402"/>
      <c r="P9" s="402"/>
      <c r="Q9" s="403" t="s">
        <v>3</v>
      </c>
      <c r="R9" s="390" t="s">
        <v>24</v>
      </c>
      <c r="S9" s="391" t="s">
        <v>8</v>
      </c>
      <c r="T9" s="391" t="s">
        <v>45</v>
      </c>
      <c r="U9" s="392" t="s">
        <v>47</v>
      </c>
      <c r="V9" s="392"/>
      <c r="W9" s="392"/>
    </row>
    <row r="10" spans="1:23" ht="21" customHeight="1" x14ac:dyDescent="0.25">
      <c r="A10" s="398"/>
      <c r="B10" s="398"/>
      <c r="C10" s="398"/>
      <c r="D10" s="398"/>
      <c r="E10" s="398"/>
      <c r="F10" s="398"/>
      <c r="G10" s="386" t="s">
        <v>53</v>
      </c>
      <c r="H10" s="386" t="s">
        <v>54</v>
      </c>
      <c r="I10" s="386" t="s">
        <v>97</v>
      </c>
      <c r="J10" s="386" t="s">
        <v>98</v>
      </c>
      <c r="K10" s="386" t="s">
        <v>99</v>
      </c>
      <c r="L10" s="386" t="s">
        <v>100</v>
      </c>
      <c r="M10" s="386" t="s">
        <v>101</v>
      </c>
      <c r="N10" s="386" t="s">
        <v>102</v>
      </c>
      <c r="O10" s="386" t="s">
        <v>104</v>
      </c>
      <c r="P10" s="386" t="s">
        <v>103</v>
      </c>
      <c r="Q10" s="403"/>
      <c r="R10" s="390"/>
      <c r="S10" s="391"/>
      <c r="T10" s="391"/>
      <c r="U10" s="392"/>
      <c r="V10" s="392"/>
      <c r="W10" s="392"/>
    </row>
    <row r="11" spans="1:23" ht="28.5" customHeight="1" x14ac:dyDescent="0.25">
      <c r="A11" s="398"/>
      <c r="B11" s="398"/>
      <c r="C11" s="398"/>
      <c r="D11" s="398"/>
      <c r="E11" s="398"/>
      <c r="F11" s="398"/>
      <c r="G11" s="387"/>
      <c r="H11" s="387"/>
      <c r="I11" s="387"/>
      <c r="J11" s="387"/>
      <c r="K11" s="387"/>
      <c r="L11" s="387"/>
      <c r="M11" s="387"/>
      <c r="N11" s="387"/>
      <c r="O11" s="387"/>
      <c r="P11" s="387"/>
      <c r="Q11" s="403"/>
      <c r="R11" s="390"/>
      <c r="S11" s="391"/>
      <c r="T11" s="391"/>
      <c r="U11" s="151" t="s">
        <v>48</v>
      </c>
      <c r="V11" s="151" t="s">
        <v>49</v>
      </c>
      <c r="W11" s="85" t="s">
        <v>3</v>
      </c>
    </row>
    <row r="12" spans="1:23" ht="22.9" customHeight="1" x14ac:dyDescent="0.25">
      <c r="A12" s="169">
        <v>1</v>
      </c>
      <c r="B12" s="106" t="s">
        <v>358</v>
      </c>
      <c r="C12" s="106" t="s">
        <v>359</v>
      </c>
      <c r="D12" s="106" t="s">
        <v>31</v>
      </c>
      <c r="E12" s="486" t="s">
        <v>360</v>
      </c>
      <c r="F12" s="487"/>
      <c r="G12" s="161">
        <v>30</v>
      </c>
      <c r="H12" s="162">
        <v>30</v>
      </c>
      <c r="I12" s="161">
        <v>15</v>
      </c>
      <c r="J12" s="210">
        <v>15</v>
      </c>
      <c r="K12" s="161">
        <v>11</v>
      </c>
      <c r="L12" s="162">
        <v>20</v>
      </c>
      <c r="M12" s="162">
        <v>50</v>
      </c>
      <c r="N12" s="162">
        <v>50</v>
      </c>
      <c r="O12" s="161">
        <v>70</v>
      </c>
      <c r="P12" s="210">
        <v>75</v>
      </c>
      <c r="Q12" s="142">
        <f>SUM(G12:P12)-W12</f>
        <v>363</v>
      </c>
      <c r="R12" s="131">
        <f>Q12/14.5</f>
        <v>25.03448275862069</v>
      </c>
      <c r="S12" s="132" t="str">
        <f>IF(R12&gt;=50*0.9,"A",IF(R12&gt;=50*0.8,"B",IF(R12&gt;=50*0.7,"C",IF(R12&gt;=50*0.6,"D",IF(R12&gt;=50*0.5,"E",IF(Q12=0,"NA","F"))))))</f>
        <v>E</v>
      </c>
      <c r="T12" s="127">
        <f t="shared" ref="T12:T29" si="0">RANK(R12,$R$12:$R$29)</f>
        <v>17</v>
      </c>
      <c r="U12" s="161">
        <v>3</v>
      </c>
      <c r="V12" s="161">
        <v>0</v>
      </c>
      <c r="W12" s="153">
        <f t="shared" ref="W12:W29" si="1">SUM(U12:V12)</f>
        <v>3</v>
      </c>
    </row>
    <row r="13" spans="1:23" ht="23.45" customHeight="1" x14ac:dyDescent="0.25">
      <c r="A13" s="169">
        <v>2</v>
      </c>
      <c r="B13" s="106" t="s">
        <v>285</v>
      </c>
      <c r="C13" s="106" t="s">
        <v>299</v>
      </c>
      <c r="D13" s="106" t="s">
        <v>32</v>
      </c>
      <c r="E13" s="486">
        <v>39900</v>
      </c>
      <c r="F13" s="487"/>
      <c r="G13" s="161">
        <v>50</v>
      </c>
      <c r="H13" s="162">
        <v>59</v>
      </c>
      <c r="I13" s="161">
        <v>25</v>
      </c>
      <c r="J13" s="210">
        <v>33</v>
      </c>
      <c r="K13" s="161">
        <v>21</v>
      </c>
      <c r="L13" s="162">
        <v>20</v>
      </c>
      <c r="M13" s="162">
        <v>62</v>
      </c>
      <c r="N13" s="162">
        <v>87</v>
      </c>
      <c r="O13" s="161">
        <v>75</v>
      </c>
      <c r="P13" s="210">
        <v>100</v>
      </c>
      <c r="Q13" s="141">
        <f>SUM(G13:P13)-W13</f>
        <v>531</v>
      </c>
      <c r="R13" s="145">
        <f t="shared" ref="R13:R29" si="2">Q13/14.5</f>
        <v>36.620689655172413</v>
      </c>
      <c r="S13" s="146" t="str">
        <f t="shared" ref="S13:S29" si="3">IF(R13&gt;=50*0.9,"A",IF(R13&gt;=50*0.8,"B",IF(R13&gt;=50*0.7,"C",IF(R13&gt;=50*0.6,"D",IF(R13&gt;=50*0.5,"E",IF(Q13=0,"NA","F"))))))</f>
        <v>C</v>
      </c>
      <c r="T13" s="130">
        <f t="shared" si="0"/>
        <v>1</v>
      </c>
      <c r="U13" s="161">
        <v>1</v>
      </c>
      <c r="V13" s="161">
        <v>0</v>
      </c>
      <c r="W13" s="153">
        <f t="shared" si="1"/>
        <v>1</v>
      </c>
    </row>
    <row r="14" spans="1:23" ht="23.45" customHeight="1" x14ac:dyDescent="0.25">
      <c r="A14" s="169">
        <v>3</v>
      </c>
      <c r="B14" s="106" t="s">
        <v>286</v>
      </c>
      <c r="C14" s="106" t="s">
        <v>300</v>
      </c>
      <c r="D14" s="106" t="s">
        <v>31</v>
      </c>
      <c r="E14" s="486">
        <v>38632</v>
      </c>
      <c r="F14" s="487">
        <v>38632</v>
      </c>
      <c r="G14" s="161">
        <v>43</v>
      </c>
      <c r="H14" s="162">
        <v>54</v>
      </c>
      <c r="I14" s="161">
        <v>22</v>
      </c>
      <c r="J14" s="210">
        <v>28</v>
      </c>
      <c r="K14" s="161">
        <v>24</v>
      </c>
      <c r="L14" s="162">
        <v>20</v>
      </c>
      <c r="M14" s="162">
        <v>53</v>
      </c>
      <c r="N14" s="162">
        <v>63</v>
      </c>
      <c r="O14" s="161">
        <v>95</v>
      </c>
      <c r="P14" s="210">
        <v>85</v>
      </c>
      <c r="Q14" s="142">
        <f t="shared" ref="Q14:Q21" si="4">SUM(G14:P14)-W14</f>
        <v>487</v>
      </c>
      <c r="R14" s="131">
        <f t="shared" si="2"/>
        <v>33.586206896551722</v>
      </c>
      <c r="S14" s="132" t="str">
        <f t="shared" si="3"/>
        <v>D</v>
      </c>
      <c r="T14" s="127">
        <f t="shared" si="0"/>
        <v>7</v>
      </c>
      <c r="U14" s="161">
        <v>0</v>
      </c>
      <c r="V14" s="161">
        <v>0</v>
      </c>
      <c r="W14" s="153">
        <f t="shared" si="1"/>
        <v>0</v>
      </c>
    </row>
    <row r="15" spans="1:23" ht="23.45" customHeight="1" x14ac:dyDescent="0.25">
      <c r="A15" s="169">
        <v>4</v>
      </c>
      <c r="B15" s="106" t="s">
        <v>287</v>
      </c>
      <c r="C15" s="106" t="s">
        <v>301</v>
      </c>
      <c r="D15" s="106" t="s">
        <v>31</v>
      </c>
      <c r="E15" s="486">
        <v>39783</v>
      </c>
      <c r="F15" s="487">
        <v>39783</v>
      </c>
      <c r="G15" s="161">
        <v>38</v>
      </c>
      <c r="H15" s="162">
        <v>42</v>
      </c>
      <c r="I15" s="161">
        <v>15</v>
      </c>
      <c r="J15" s="210">
        <v>27</v>
      </c>
      <c r="K15" s="161">
        <v>11</v>
      </c>
      <c r="L15" s="162">
        <v>20</v>
      </c>
      <c r="M15" s="162">
        <v>40</v>
      </c>
      <c r="N15" s="162">
        <v>58</v>
      </c>
      <c r="O15" s="161">
        <v>70</v>
      </c>
      <c r="P15" s="210">
        <v>80</v>
      </c>
      <c r="Q15" s="142">
        <f t="shared" si="4"/>
        <v>401</v>
      </c>
      <c r="R15" s="131">
        <f t="shared" si="2"/>
        <v>27.655172413793103</v>
      </c>
      <c r="S15" s="132" t="str">
        <f t="shared" si="3"/>
        <v>E</v>
      </c>
      <c r="T15" s="127">
        <f t="shared" si="0"/>
        <v>13</v>
      </c>
      <c r="U15" s="161">
        <v>0</v>
      </c>
      <c r="V15" s="161">
        <v>0</v>
      </c>
      <c r="W15" s="153">
        <f t="shared" si="1"/>
        <v>0</v>
      </c>
    </row>
    <row r="16" spans="1:23" ht="23.45" customHeight="1" x14ac:dyDescent="0.25">
      <c r="A16" s="211">
        <v>5</v>
      </c>
      <c r="B16" s="223" t="s">
        <v>288</v>
      </c>
      <c r="C16" s="223" t="s">
        <v>302</v>
      </c>
      <c r="D16" s="223" t="s">
        <v>31</v>
      </c>
      <c r="E16" s="491">
        <v>40102</v>
      </c>
      <c r="F16" s="492"/>
      <c r="G16" s="213">
        <v>0</v>
      </c>
      <c r="H16" s="222"/>
      <c r="I16" s="213">
        <v>0</v>
      </c>
      <c r="J16" s="214">
        <v>0</v>
      </c>
      <c r="K16" s="213">
        <v>0</v>
      </c>
      <c r="L16" s="216">
        <v>0</v>
      </c>
      <c r="M16" s="222"/>
      <c r="N16" s="222"/>
      <c r="O16" s="213">
        <v>0</v>
      </c>
      <c r="P16" s="214">
        <v>0</v>
      </c>
      <c r="Q16" s="201">
        <f t="shared" si="4"/>
        <v>0</v>
      </c>
      <c r="R16" s="202">
        <f t="shared" si="2"/>
        <v>0</v>
      </c>
      <c r="S16" s="203" t="str">
        <f t="shared" si="3"/>
        <v>NA</v>
      </c>
      <c r="T16" s="204">
        <f t="shared" si="0"/>
        <v>18</v>
      </c>
      <c r="U16" s="213">
        <v>0</v>
      </c>
      <c r="V16" s="213">
        <v>0</v>
      </c>
      <c r="W16" s="206">
        <f t="shared" si="1"/>
        <v>0</v>
      </c>
    </row>
    <row r="17" spans="1:23" ht="23.45" customHeight="1" x14ac:dyDescent="0.25">
      <c r="A17" s="169">
        <v>6</v>
      </c>
      <c r="B17" s="106" t="s">
        <v>289</v>
      </c>
      <c r="C17" s="106" t="s">
        <v>303</v>
      </c>
      <c r="D17" s="106" t="s">
        <v>31</v>
      </c>
      <c r="E17" s="486">
        <v>40437</v>
      </c>
      <c r="F17" s="487"/>
      <c r="G17" s="161">
        <v>40</v>
      </c>
      <c r="H17" s="162">
        <v>44</v>
      </c>
      <c r="I17" s="161">
        <v>20</v>
      </c>
      <c r="J17" s="210">
        <v>37</v>
      </c>
      <c r="K17" s="161">
        <v>20</v>
      </c>
      <c r="L17" s="162">
        <v>20</v>
      </c>
      <c r="M17" s="162">
        <v>29</v>
      </c>
      <c r="N17" s="162">
        <v>41</v>
      </c>
      <c r="O17" s="161">
        <v>75</v>
      </c>
      <c r="P17" s="210">
        <v>90</v>
      </c>
      <c r="Q17" s="142">
        <f t="shared" si="4"/>
        <v>414</v>
      </c>
      <c r="R17" s="131">
        <f t="shared" si="2"/>
        <v>28.551724137931036</v>
      </c>
      <c r="S17" s="132" t="str">
        <f t="shared" si="3"/>
        <v>E</v>
      </c>
      <c r="T17" s="127">
        <f t="shared" si="0"/>
        <v>11</v>
      </c>
      <c r="U17" s="161">
        <v>2</v>
      </c>
      <c r="V17" s="161">
        <v>0</v>
      </c>
      <c r="W17" s="153">
        <f t="shared" si="1"/>
        <v>2</v>
      </c>
    </row>
    <row r="18" spans="1:23" ht="23.45" customHeight="1" x14ac:dyDescent="0.25">
      <c r="A18" s="169">
        <v>7</v>
      </c>
      <c r="B18" s="106" t="s">
        <v>290</v>
      </c>
      <c r="C18" s="106" t="s">
        <v>304</v>
      </c>
      <c r="D18" s="106" t="s">
        <v>31</v>
      </c>
      <c r="E18" s="486">
        <v>39158</v>
      </c>
      <c r="F18" s="487"/>
      <c r="G18" s="161">
        <v>38</v>
      </c>
      <c r="H18" s="162">
        <v>44</v>
      </c>
      <c r="I18" s="161">
        <v>21</v>
      </c>
      <c r="J18" s="210">
        <v>28</v>
      </c>
      <c r="K18" s="161">
        <v>20</v>
      </c>
      <c r="L18" s="162">
        <v>20</v>
      </c>
      <c r="M18" s="162">
        <v>61</v>
      </c>
      <c r="N18" s="162">
        <v>61</v>
      </c>
      <c r="O18" s="161">
        <v>95</v>
      </c>
      <c r="P18" s="210">
        <v>97</v>
      </c>
      <c r="Q18" s="142">
        <f t="shared" si="4"/>
        <v>485</v>
      </c>
      <c r="R18" s="131">
        <f t="shared" si="2"/>
        <v>33.448275862068968</v>
      </c>
      <c r="S18" s="132" t="str">
        <f t="shared" si="3"/>
        <v>D</v>
      </c>
      <c r="T18" s="127">
        <f t="shared" si="0"/>
        <v>8</v>
      </c>
      <c r="U18" s="161">
        <v>0</v>
      </c>
      <c r="V18" s="161">
        <v>0</v>
      </c>
      <c r="W18" s="153">
        <f t="shared" si="1"/>
        <v>0</v>
      </c>
    </row>
    <row r="19" spans="1:23" ht="23.45" customHeight="1" x14ac:dyDescent="0.25">
      <c r="A19" s="169">
        <v>8</v>
      </c>
      <c r="B19" s="106" t="s">
        <v>291</v>
      </c>
      <c r="C19" s="106" t="s">
        <v>124</v>
      </c>
      <c r="D19" s="106" t="s">
        <v>31</v>
      </c>
      <c r="E19" s="486">
        <v>40074</v>
      </c>
      <c r="F19" s="487">
        <v>40074</v>
      </c>
      <c r="G19" s="161">
        <v>43</v>
      </c>
      <c r="H19" s="162">
        <v>44</v>
      </c>
      <c r="I19" s="161">
        <v>26</v>
      </c>
      <c r="J19" s="210">
        <v>35</v>
      </c>
      <c r="K19" s="161">
        <v>22</v>
      </c>
      <c r="L19" s="162">
        <v>20</v>
      </c>
      <c r="M19" s="162">
        <v>67</v>
      </c>
      <c r="N19" s="162">
        <v>75</v>
      </c>
      <c r="O19" s="161">
        <v>95</v>
      </c>
      <c r="P19" s="210">
        <v>85</v>
      </c>
      <c r="Q19" s="142">
        <f t="shared" si="4"/>
        <v>512</v>
      </c>
      <c r="R19" s="131">
        <f t="shared" si="2"/>
        <v>35.310344827586206</v>
      </c>
      <c r="S19" s="132" t="str">
        <f t="shared" si="3"/>
        <v>C</v>
      </c>
      <c r="T19" s="127">
        <f t="shared" si="0"/>
        <v>3</v>
      </c>
      <c r="U19" s="161">
        <v>0</v>
      </c>
      <c r="V19" s="161">
        <v>0</v>
      </c>
      <c r="W19" s="153">
        <f t="shared" si="1"/>
        <v>0</v>
      </c>
    </row>
    <row r="20" spans="1:23" ht="23.45" customHeight="1" x14ac:dyDescent="0.25">
      <c r="A20" s="169">
        <v>9</v>
      </c>
      <c r="B20" s="106" t="s">
        <v>292</v>
      </c>
      <c r="C20" s="106" t="s">
        <v>305</v>
      </c>
      <c r="D20" s="106" t="s">
        <v>31</v>
      </c>
      <c r="E20" s="486">
        <v>40030</v>
      </c>
      <c r="F20" s="487">
        <v>40030</v>
      </c>
      <c r="G20" s="161">
        <v>43</v>
      </c>
      <c r="H20" s="162">
        <v>49</v>
      </c>
      <c r="I20" s="161">
        <v>24</v>
      </c>
      <c r="J20" s="210">
        <v>36</v>
      </c>
      <c r="K20" s="161">
        <v>19</v>
      </c>
      <c r="L20" s="162">
        <v>20</v>
      </c>
      <c r="M20" s="162">
        <v>60</v>
      </c>
      <c r="N20" s="162">
        <v>63</v>
      </c>
      <c r="O20" s="161">
        <v>95</v>
      </c>
      <c r="P20" s="210">
        <v>100</v>
      </c>
      <c r="Q20" s="141">
        <f t="shared" si="4"/>
        <v>509</v>
      </c>
      <c r="R20" s="145">
        <f t="shared" si="2"/>
        <v>35.103448275862071</v>
      </c>
      <c r="S20" s="146" t="str">
        <f t="shared" si="3"/>
        <v>C</v>
      </c>
      <c r="T20" s="130">
        <f t="shared" si="0"/>
        <v>4</v>
      </c>
      <c r="U20" s="161">
        <v>0</v>
      </c>
      <c r="V20" s="161">
        <v>0</v>
      </c>
      <c r="W20" s="153">
        <f t="shared" si="1"/>
        <v>0</v>
      </c>
    </row>
    <row r="21" spans="1:23" ht="23.45" customHeight="1" x14ac:dyDescent="0.25">
      <c r="A21" s="169">
        <v>10</v>
      </c>
      <c r="B21" s="106" t="s">
        <v>293</v>
      </c>
      <c r="C21" s="106" t="s">
        <v>306</v>
      </c>
      <c r="D21" s="106" t="s">
        <v>31</v>
      </c>
      <c r="E21" s="486">
        <v>40071</v>
      </c>
      <c r="F21" s="487"/>
      <c r="G21" s="161">
        <v>38</v>
      </c>
      <c r="H21" s="162">
        <v>44</v>
      </c>
      <c r="I21" s="161">
        <v>16</v>
      </c>
      <c r="J21" s="210">
        <v>46</v>
      </c>
      <c r="K21" s="161">
        <v>20</v>
      </c>
      <c r="L21" s="162">
        <v>20</v>
      </c>
      <c r="M21" s="162">
        <v>24</v>
      </c>
      <c r="N21" s="162">
        <v>20</v>
      </c>
      <c r="O21" s="161">
        <v>70</v>
      </c>
      <c r="P21" s="210">
        <v>85</v>
      </c>
      <c r="Q21" s="142">
        <f t="shared" si="4"/>
        <v>383</v>
      </c>
      <c r="R21" s="131">
        <f t="shared" si="2"/>
        <v>26.413793103448278</v>
      </c>
      <c r="S21" s="132" t="str">
        <f t="shared" si="3"/>
        <v>E</v>
      </c>
      <c r="T21" s="127">
        <f t="shared" si="0"/>
        <v>15</v>
      </c>
      <c r="U21" s="161">
        <v>0</v>
      </c>
      <c r="V21" s="161">
        <v>0</v>
      </c>
      <c r="W21" s="153">
        <f t="shared" si="1"/>
        <v>0</v>
      </c>
    </row>
    <row r="22" spans="1:23" ht="23.45" customHeight="1" x14ac:dyDescent="0.25">
      <c r="A22" s="169">
        <v>11</v>
      </c>
      <c r="B22" s="106" t="s">
        <v>361</v>
      </c>
      <c r="C22" s="106" t="s">
        <v>362</v>
      </c>
      <c r="D22" s="106" t="s">
        <v>31</v>
      </c>
      <c r="E22" s="486" t="s">
        <v>363</v>
      </c>
      <c r="F22" s="487"/>
      <c r="G22" s="161">
        <v>39</v>
      </c>
      <c r="H22" s="162">
        <v>42</v>
      </c>
      <c r="I22" s="161">
        <v>23</v>
      </c>
      <c r="J22" s="210">
        <v>38</v>
      </c>
      <c r="K22" s="161">
        <v>18</v>
      </c>
      <c r="L22" s="162">
        <v>20</v>
      </c>
      <c r="M22" s="162">
        <v>71</v>
      </c>
      <c r="N22" s="162">
        <v>76</v>
      </c>
      <c r="O22" s="161">
        <v>90</v>
      </c>
      <c r="P22" s="210">
        <v>115</v>
      </c>
      <c r="Q22" s="142">
        <f>SUM(G22:O22)-W22</f>
        <v>417</v>
      </c>
      <c r="R22" s="131">
        <f t="shared" si="2"/>
        <v>28.758620689655171</v>
      </c>
      <c r="S22" s="132" t="str">
        <f t="shared" si="3"/>
        <v>E</v>
      </c>
      <c r="T22" s="127">
        <f t="shared" si="0"/>
        <v>10</v>
      </c>
      <c r="U22" s="161">
        <v>0</v>
      </c>
      <c r="V22" s="161">
        <v>0</v>
      </c>
      <c r="W22" s="153">
        <f t="shared" si="1"/>
        <v>0</v>
      </c>
    </row>
    <row r="23" spans="1:23" ht="23.45" customHeight="1" x14ac:dyDescent="0.25">
      <c r="A23" s="169">
        <v>12</v>
      </c>
      <c r="B23" s="106" t="s">
        <v>294</v>
      </c>
      <c r="C23" s="106" t="s">
        <v>307</v>
      </c>
      <c r="D23" s="106" t="s">
        <v>31</v>
      </c>
      <c r="E23" s="486">
        <v>40195</v>
      </c>
      <c r="F23" s="487"/>
      <c r="G23" s="161">
        <v>40</v>
      </c>
      <c r="H23" s="162">
        <v>34</v>
      </c>
      <c r="I23" s="161">
        <v>33</v>
      </c>
      <c r="J23" s="210">
        <v>34</v>
      </c>
      <c r="K23" s="161">
        <v>22</v>
      </c>
      <c r="L23" s="162">
        <v>20</v>
      </c>
      <c r="M23" s="162">
        <v>68</v>
      </c>
      <c r="N23" s="162">
        <v>72</v>
      </c>
      <c r="O23" s="161">
        <v>95</v>
      </c>
      <c r="P23" s="210">
        <v>110</v>
      </c>
      <c r="Q23" s="142">
        <f t="shared" ref="Q23:Q29" si="5">SUM(G23:P23)-W23</f>
        <v>527</v>
      </c>
      <c r="R23" s="131">
        <f t="shared" si="2"/>
        <v>36.344827586206897</v>
      </c>
      <c r="S23" s="132" t="str">
        <f t="shared" si="3"/>
        <v>C</v>
      </c>
      <c r="T23" s="127">
        <f t="shared" si="0"/>
        <v>2</v>
      </c>
      <c r="U23" s="161">
        <v>1</v>
      </c>
      <c r="V23" s="161">
        <v>0</v>
      </c>
      <c r="W23" s="153">
        <f t="shared" si="1"/>
        <v>1</v>
      </c>
    </row>
    <row r="24" spans="1:23" ht="23.45" customHeight="1" x14ac:dyDescent="0.25">
      <c r="A24" s="169">
        <v>13</v>
      </c>
      <c r="B24" s="106" t="s">
        <v>4</v>
      </c>
      <c r="C24" s="106" t="s">
        <v>308</v>
      </c>
      <c r="D24" s="106" t="s">
        <v>31</v>
      </c>
      <c r="E24" s="486">
        <v>39824</v>
      </c>
      <c r="F24" s="487"/>
      <c r="G24" s="161">
        <v>40</v>
      </c>
      <c r="H24" s="162">
        <v>40</v>
      </c>
      <c r="I24" s="161">
        <v>24</v>
      </c>
      <c r="J24" s="210">
        <v>35</v>
      </c>
      <c r="K24" s="161">
        <v>16</v>
      </c>
      <c r="L24" s="162">
        <v>20</v>
      </c>
      <c r="M24" s="162">
        <v>78</v>
      </c>
      <c r="N24" s="162">
        <v>72</v>
      </c>
      <c r="O24" s="161">
        <v>85</v>
      </c>
      <c r="P24" s="210">
        <v>85</v>
      </c>
      <c r="Q24" s="141">
        <f t="shared" si="5"/>
        <v>495</v>
      </c>
      <c r="R24" s="145">
        <f t="shared" si="2"/>
        <v>34.137931034482762</v>
      </c>
      <c r="S24" s="146" t="str">
        <f t="shared" si="3"/>
        <v>D</v>
      </c>
      <c r="T24" s="130">
        <f t="shared" si="0"/>
        <v>6</v>
      </c>
      <c r="U24" s="161">
        <v>0</v>
      </c>
      <c r="V24" s="161">
        <v>0</v>
      </c>
      <c r="W24" s="153">
        <f t="shared" si="1"/>
        <v>0</v>
      </c>
    </row>
    <row r="25" spans="1:23" ht="23.45" customHeight="1" x14ac:dyDescent="0.25">
      <c r="A25" s="169">
        <v>14</v>
      </c>
      <c r="B25" s="106" t="s">
        <v>295</v>
      </c>
      <c r="C25" s="106" t="s">
        <v>309</v>
      </c>
      <c r="D25" s="106" t="s">
        <v>31</v>
      </c>
      <c r="E25" s="486" t="s">
        <v>314</v>
      </c>
      <c r="F25" s="487" t="s">
        <v>314</v>
      </c>
      <c r="G25" s="161">
        <v>42</v>
      </c>
      <c r="H25" s="162">
        <v>45</v>
      </c>
      <c r="I25" s="161">
        <v>29</v>
      </c>
      <c r="J25" s="210">
        <v>46</v>
      </c>
      <c r="K25" s="161">
        <v>18</v>
      </c>
      <c r="L25" s="162">
        <v>20</v>
      </c>
      <c r="M25" s="162">
        <v>52</v>
      </c>
      <c r="N25" s="162">
        <v>34</v>
      </c>
      <c r="O25" s="161">
        <v>85</v>
      </c>
      <c r="P25" s="210">
        <v>100</v>
      </c>
      <c r="Q25" s="142">
        <f t="shared" si="5"/>
        <v>471</v>
      </c>
      <c r="R25" s="131">
        <f t="shared" si="2"/>
        <v>32.482758620689658</v>
      </c>
      <c r="S25" s="132" t="str">
        <f t="shared" si="3"/>
        <v>D</v>
      </c>
      <c r="T25" s="127">
        <f t="shared" si="0"/>
        <v>9</v>
      </c>
      <c r="U25" s="161">
        <v>0</v>
      </c>
      <c r="V25" s="161">
        <v>0</v>
      </c>
      <c r="W25" s="153">
        <f t="shared" si="1"/>
        <v>0</v>
      </c>
    </row>
    <row r="26" spans="1:23" ht="23.45" customHeight="1" x14ac:dyDescent="0.25">
      <c r="A26" s="169">
        <v>15</v>
      </c>
      <c r="B26" s="106" t="s">
        <v>296</v>
      </c>
      <c r="C26" s="106" t="s">
        <v>310</v>
      </c>
      <c r="D26" s="106" t="s">
        <v>31</v>
      </c>
      <c r="E26" s="486">
        <v>40068</v>
      </c>
      <c r="F26" s="487">
        <v>40068</v>
      </c>
      <c r="G26" s="161">
        <v>44</v>
      </c>
      <c r="H26" s="162">
        <v>39</v>
      </c>
      <c r="I26" s="161">
        <v>24</v>
      </c>
      <c r="J26" s="210">
        <v>19</v>
      </c>
      <c r="K26" s="161">
        <v>13</v>
      </c>
      <c r="L26" s="162">
        <v>20</v>
      </c>
      <c r="M26" s="162">
        <v>40</v>
      </c>
      <c r="N26" s="162">
        <v>53</v>
      </c>
      <c r="O26" s="161">
        <v>80</v>
      </c>
      <c r="P26" s="210">
        <v>80</v>
      </c>
      <c r="Q26" s="142">
        <f t="shared" si="5"/>
        <v>412</v>
      </c>
      <c r="R26" s="131">
        <f>Q26/14.5</f>
        <v>28.413793103448278</v>
      </c>
      <c r="S26" s="132" t="str">
        <f t="shared" si="3"/>
        <v>E</v>
      </c>
      <c r="T26" s="127">
        <f t="shared" si="0"/>
        <v>12</v>
      </c>
      <c r="U26" s="161">
        <v>0</v>
      </c>
      <c r="V26" s="161">
        <v>0</v>
      </c>
      <c r="W26" s="153">
        <f t="shared" si="1"/>
        <v>0</v>
      </c>
    </row>
    <row r="27" spans="1:23" ht="23.45" customHeight="1" x14ac:dyDescent="0.25">
      <c r="A27" s="169">
        <v>16</v>
      </c>
      <c r="B27" s="106" t="s">
        <v>297</v>
      </c>
      <c r="C27" s="106" t="s">
        <v>311</v>
      </c>
      <c r="D27" s="106" t="s">
        <v>31</v>
      </c>
      <c r="E27" s="486">
        <v>39751</v>
      </c>
      <c r="F27" s="487">
        <v>39751</v>
      </c>
      <c r="G27" s="161">
        <v>39</v>
      </c>
      <c r="H27" s="162">
        <v>44</v>
      </c>
      <c r="I27" s="161">
        <v>21</v>
      </c>
      <c r="J27" s="210">
        <v>15</v>
      </c>
      <c r="K27" s="161">
        <v>11</v>
      </c>
      <c r="L27" s="162">
        <v>20</v>
      </c>
      <c r="M27" s="162">
        <v>25</v>
      </c>
      <c r="N27" s="162">
        <v>26</v>
      </c>
      <c r="O27" s="161">
        <v>85</v>
      </c>
      <c r="P27" s="210">
        <v>100</v>
      </c>
      <c r="Q27" s="142">
        <f t="shared" si="5"/>
        <v>385</v>
      </c>
      <c r="R27" s="131">
        <f>Q27/14.5</f>
        <v>26.551724137931036</v>
      </c>
      <c r="S27" s="132" t="str">
        <f t="shared" si="3"/>
        <v>E</v>
      </c>
      <c r="T27" s="127">
        <f t="shared" si="0"/>
        <v>14</v>
      </c>
      <c r="U27" s="161">
        <v>1</v>
      </c>
      <c r="V27" s="161">
        <v>0</v>
      </c>
      <c r="W27" s="153">
        <f t="shared" si="1"/>
        <v>1</v>
      </c>
    </row>
    <row r="28" spans="1:23" ht="23.45" customHeight="1" x14ac:dyDescent="0.25">
      <c r="A28" s="169">
        <v>17</v>
      </c>
      <c r="B28" s="106" t="s">
        <v>298</v>
      </c>
      <c r="C28" s="106" t="s">
        <v>312</v>
      </c>
      <c r="D28" s="106" t="s">
        <v>31</v>
      </c>
      <c r="E28" s="486">
        <v>40246</v>
      </c>
      <c r="F28" s="487">
        <v>40246</v>
      </c>
      <c r="G28" s="161">
        <v>39</v>
      </c>
      <c r="H28" s="162">
        <v>44</v>
      </c>
      <c r="I28" s="161">
        <v>32</v>
      </c>
      <c r="J28" s="210">
        <v>35</v>
      </c>
      <c r="K28" s="161">
        <v>17</v>
      </c>
      <c r="L28" s="162">
        <v>20</v>
      </c>
      <c r="M28" s="162">
        <v>58</v>
      </c>
      <c r="N28" s="162">
        <v>53</v>
      </c>
      <c r="O28" s="161">
        <v>95</v>
      </c>
      <c r="P28" s="210">
        <v>105</v>
      </c>
      <c r="Q28" s="142">
        <f t="shared" si="5"/>
        <v>496</v>
      </c>
      <c r="R28" s="131">
        <f>Q28/14.5</f>
        <v>34.206896551724135</v>
      </c>
      <c r="S28" s="132" t="str">
        <f t="shared" si="3"/>
        <v>D</v>
      </c>
      <c r="T28" s="127">
        <f t="shared" si="0"/>
        <v>5</v>
      </c>
      <c r="U28" s="161">
        <v>2</v>
      </c>
      <c r="V28" s="161">
        <v>0</v>
      </c>
      <c r="W28" s="153">
        <f t="shared" si="1"/>
        <v>2</v>
      </c>
    </row>
    <row r="29" spans="1:23" ht="23.45" customHeight="1" x14ac:dyDescent="0.25">
      <c r="A29" s="169">
        <v>18</v>
      </c>
      <c r="B29" s="106" t="s">
        <v>357</v>
      </c>
      <c r="C29" s="106" t="s">
        <v>313</v>
      </c>
      <c r="D29" s="106" t="s">
        <v>31</v>
      </c>
      <c r="E29" s="486" t="s">
        <v>187</v>
      </c>
      <c r="F29" s="487"/>
      <c r="G29" s="161">
        <v>30</v>
      </c>
      <c r="H29" s="162">
        <v>34</v>
      </c>
      <c r="I29" s="161">
        <v>15</v>
      </c>
      <c r="J29" s="210">
        <v>21</v>
      </c>
      <c r="K29" s="161">
        <v>18</v>
      </c>
      <c r="L29" s="162">
        <v>20</v>
      </c>
      <c r="M29" s="162">
        <v>44</v>
      </c>
      <c r="N29" s="162">
        <v>50</v>
      </c>
      <c r="O29" s="161">
        <v>70</v>
      </c>
      <c r="P29" s="210">
        <v>80</v>
      </c>
      <c r="Q29" s="141">
        <f t="shared" si="5"/>
        <v>377</v>
      </c>
      <c r="R29" s="145">
        <f t="shared" si="2"/>
        <v>26</v>
      </c>
      <c r="S29" s="146" t="str">
        <f t="shared" si="3"/>
        <v>E</v>
      </c>
      <c r="T29" s="130">
        <f t="shared" si="0"/>
        <v>16</v>
      </c>
      <c r="U29" s="161">
        <v>1</v>
      </c>
      <c r="V29" s="161">
        <v>4</v>
      </c>
      <c r="W29" s="153">
        <f t="shared" si="1"/>
        <v>5</v>
      </c>
    </row>
    <row r="30" spans="1:23" ht="30" customHeight="1" x14ac:dyDescent="0.25">
      <c r="A30" s="374" t="str">
        <f>"បញ្ឈប់បញ្ជីត្រឹមឈ្មោះ អ៊ី លីហ្វុង  "&amp;"      ចំនួនសរុប  "&amp;COUNT(A12:A29)&amp;"  នាក់"&amp;"      ក្នុងនោះស្រី  "&amp;COUNTIF(D12:D29,"ស")&amp;"  នាក់ ។"</f>
        <v>បញ្ឈប់បញ្ជីត្រឹមឈ្មោះ អ៊ី លីហ្វុង        ចំនួនសរុប  18  នាក់      ក្នុងនោះស្រី  1  នាក់ ។</v>
      </c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9"/>
      <c r="P30" s="9"/>
      <c r="Q30" s="10"/>
      <c r="R30" s="9"/>
      <c r="S30" s="9"/>
    </row>
    <row r="31" spans="1:23" ht="25.5" x14ac:dyDescent="0.25">
      <c r="B31" s="93" t="s">
        <v>34</v>
      </c>
      <c r="C31" s="93"/>
    </row>
    <row r="32" spans="1:23" ht="21" x14ac:dyDescent="0.6">
      <c r="B32" s="375" t="s">
        <v>51</v>
      </c>
      <c r="C32" s="376"/>
      <c r="D32" s="48" t="s">
        <v>8</v>
      </c>
      <c r="E32" s="377" t="s">
        <v>39</v>
      </c>
      <c r="F32" s="378"/>
    </row>
    <row r="33" spans="1:23" ht="23.25" x14ac:dyDescent="0.65">
      <c r="B33" s="380" t="s">
        <v>79</v>
      </c>
      <c r="C33" s="381"/>
      <c r="D33" s="42" t="s">
        <v>26</v>
      </c>
      <c r="E33" s="382" t="s">
        <v>52</v>
      </c>
      <c r="F33" s="383"/>
      <c r="Q33" s="23"/>
    </row>
    <row r="34" spans="1:23" ht="21.95" customHeight="1" x14ac:dyDescent="0.25">
      <c r="B34" s="365" t="s">
        <v>80</v>
      </c>
      <c r="C34" s="366"/>
      <c r="D34" s="43" t="s">
        <v>27</v>
      </c>
      <c r="E34" s="367" t="s">
        <v>35</v>
      </c>
      <c r="F34" s="368"/>
    </row>
    <row r="35" spans="1:23" ht="21.95" customHeight="1" x14ac:dyDescent="0.25">
      <c r="B35" s="369" t="s">
        <v>81</v>
      </c>
      <c r="C35" s="370"/>
      <c r="D35" s="44" t="s">
        <v>28</v>
      </c>
      <c r="E35" s="371" t="s">
        <v>36</v>
      </c>
      <c r="F35" s="372"/>
      <c r="I35" s="38"/>
      <c r="J35" s="39"/>
      <c r="K35" s="38"/>
      <c r="L35" s="39"/>
      <c r="M35" s="38"/>
      <c r="N35" s="379"/>
      <c r="O35" s="379"/>
      <c r="P35" s="379"/>
    </row>
    <row r="36" spans="1:23" ht="24.95" customHeight="1" x14ac:dyDescent="0.25">
      <c r="A36" s="41"/>
      <c r="B36" s="329" t="s">
        <v>82</v>
      </c>
      <c r="C36" s="330"/>
      <c r="D36" s="45" t="s">
        <v>29</v>
      </c>
      <c r="E36" s="331" t="s">
        <v>42</v>
      </c>
      <c r="F36" s="332"/>
      <c r="I36" s="25"/>
      <c r="J36" s="26"/>
      <c r="K36" s="26"/>
      <c r="L36" s="26"/>
      <c r="M36" s="26"/>
      <c r="N36" s="8"/>
      <c r="O36" s="8"/>
      <c r="P36" s="8"/>
    </row>
    <row r="37" spans="1:23" ht="24.95" customHeight="1" x14ac:dyDescent="0.8">
      <c r="A37" s="31"/>
      <c r="B37" s="333" t="s">
        <v>83</v>
      </c>
      <c r="C37" s="334"/>
      <c r="D37" s="46" t="s">
        <v>41</v>
      </c>
      <c r="E37" s="335" t="s">
        <v>37</v>
      </c>
      <c r="F37" s="336"/>
      <c r="I37" s="26"/>
      <c r="J37" s="26"/>
      <c r="K37" s="26"/>
      <c r="L37" s="13"/>
      <c r="M37" s="13"/>
      <c r="N37" s="13"/>
      <c r="O37" s="13"/>
      <c r="P37" s="13"/>
    </row>
    <row r="38" spans="1:23" ht="24.95" customHeight="1" x14ac:dyDescent="0.8">
      <c r="A38" s="31"/>
      <c r="B38" s="337" t="s">
        <v>84</v>
      </c>
      <c r="C38" s="338"/>
      <c r="D38" s="47" t="s">
        <v>30</v>
      </c>
      <c r="E38" s="339" t="s">
        <v>38</v>
      </c>
      <c r="F38" s="339"/>
      <c r="G38" s="71"/>
      <c r="H38" s="71"/>
      <c r="I38" s="26"/>
      <c r="J38" s="26"/>
      <c r="K38" s="26"/>
      <c r="L38" s="13"/>
      <c r="M38" s="13"/>
      <c r="N38" s="13"/>
      <c r="O38" s="13"/>
      <c r="P38" s="13"/>
    </row>
    <row r="39" spans="1:23" ht="108" customHeight="1" x14ac:dyDescent="0.8">
      <c r="A39" s="31"/>
      <c r="B39" s="489" t="s">
        <v>92</v>
      </c>
      <c r="C39" s="489"/>
      <c r="D39" s="489"/>
      <c r="E39" s="489"/>
      <c r="F39" s="489"/>
      <c r="G39" s="490"/>
      <c r="H39" s="490"/>
      <c r="I39" s="490"/>
      <c r="J39" s="26"/>
      <c r="K39" s="26"/>
      <c r="L39" s="13"/>
      <c r="M39" s="13"/>
      <c r="N39" s="13"/>
      <c r="O39" s="13"/>
      <c r="P39" s="13"/>
    </row>
    <row r="40" spans="1:23" ht="23.25" x14ac:dyDescent="0.65">
      <c r="A40" s="252" t="s">
        <v>33</v>
      </c>
      <c r="B40" s="252"/>
      <c r="C40" s="252"/>
      <c r="D40" s="252"/>
      <c r="E40" s="347"/>
      <c r="F40" s="69" t="s">
        <v>3</v>
      </c>
      <c r="G40" s="70" t="s">
        <v>4</v>
      </c>
      <c r="I40" s="26"/>
      <c r="J40" s="26"/>
      <c r="K40" s="26"/>
      <c r="L40" s="13"/>
      <c r="M40" s="13"/>
      <c r="N40" s="9"/>
    </row>
    <row r="41" spans="1:23" ht="25.5" customHeight="1" x14ac:dyDescent="0.6">
      <c r="B41" s="488" t="s">
        <v>55</v>
      </c>
      <c r="C41" s="488"/>
      <c r="D41" s="356" t="s">
        <v>67</v>
      </c>
      <c r="E41" s="357"/>
      <c r="F41" s="67">
        <f>D44+F44</f>
        <v>17</v>
      </c>
      <c r="G41" s="68">
        <f>E44+G44</f>
        <v>1</v>
      </c>
      <c r="H41" s="358" t="s">
        <v>8</v>
      </c>
      <c r="I41" s="359"/>
      <c r="J41" s="359"/>
      <c r="K41" s="359"/>
      <c r="L41" s="359"/>
      <c r="M41" s="359"/>
      <c r="N41" s="359"/>
      <c r="O41" s="359"/>
      <c r="P41" s="359"/>
      <c r="Q41" s="359"/>
      <c r="R41" s="359"/>
      <c r="S41" s="360"/>
      <c r="T41" s="80" t="s">
        <v>85</v>
      </c>
      <c r="U41" s="80"/>
    </row>
    <row r="42" spans="1:23" ht="47.25" customHeight="1" x14ac:dyDescent="0.25">
      <c r="A42" s="8"/>
      <c r="B42" s="488"/>
      <c r="C42" s="488"/>
      <c r="D42" s="361" t="s">
        <v>77</v>
      </c>
      <c r="E42" s="362"/>
      <c r="F42" s="363" t="s">
        <v>86</v>
      </c>
      <c r="G42" s="364"/>
      <c r="H42" s="341" t="s">
        <v>26</v>
      </c>
      <c r="I42" s="342"/>
      <c r="J42" s="341" t="s">
        <v>27</v>
      </c>
      <c r="K42" s="342"/>
      <c r="L42" s="341" t="s">
        <v>28</v>
      </c>
      <c r="M42" s="342"/>
      <c r="N42" s="341" t="s">
        <v>29</v>
      </c>
      <c r="O42" s="342"/>
      <c r="P42" s="343" t="s">
        <v>41</v>
      </c>
      <c r="Q42" s="344"/>
      <c r="R42" s="348" t="s">
        <v>88</v>
      </c>
      <c r="S42" s="349"/>
      <c r="T42" s="80"/>
      <c r="U42" s="80"/>
    </row>
    <row r="43" spans="1:23" ht="23.25" x14ac:dyDescent="0.6">
      <c r="A43" s="8"/>
      <c r="B43" s="4" t="s">
        <v>3</v>
      </c>
      <c r="C43" s="33" t="s">
        <v>4</v>
      </c>
      <c r="D43" s="4" t="s">
        <v>3</v>
      </c>
      <c r="E43" s="33" t="s">
        <v>4</v>
      </c>
      <c r="F43" s="4" t="s">
        <v>3</v>
      </c>
      <c r="G43" s="33" t="s">
        <v>4</v>
      </c>
      <c r="H43" s="4" t="s">
        <v>3</v>
      </c>
      <c r="I43" s="52" t="s">
        <v>4</v>
      </c>
      <c r="J43" s="40" t="s">
        <v>3</v>
      </c>
      <c r="K43" s="33" t="s">
        <v>4</v>
      </c>
      <c r="L43" s="4" t="s">
        <v>3</v>
      </c>
      <c r="M43" s="33" t="s">
        <v>4</v>
      </c>
      <c r="N43" s="4" t="s">
        <v>3</v>
      </c>
      <c r="O43" s="33" t="s">
        <v>4</v>
      </c>
      <c r="P43" s="4" t="s">
        <v>3</v>
      </c>
      <c r="Q43" s="33" t="s">
        <v>4</v>
      </c>
      <c r="R43" s="63" t="s">
        <v>3</v>
      </c>
      <c r="S43" s="64" t="s">
        <v>4</v>
      </c>
      <c r="T43" s="33"/>
      <c r="U43" s="4"/>
    </row>
    <row r="44" spans="1:23" ht="23.25" customHeight="1" x14ac:dyDescent="0.25">
      <c r="A44" s="8"/>
      <c r="B44" s="55">
        <f>COUNT(A12:A29)</f>
        <v>18</v>
      </c>
      <c r="C44" s="56">
        <f>COUNTIF(D12:D29,"ស")</f>
        <v>1</v>
      </c>
      <c r="D44" s="55">
        <f>SUM(H44,J44,L44,N44,P44)</f>
        <v>17</v>
      </c>
      <c r="E44" s="56">
        <f>SUM(I44,K44,M44,O44,Q44)</f>
        <v>1</v>
      </c>
      <c r="F44" s="32">
        <f>COUNTIF(S12:S29,"F")</f>
        <v>0</v>
      </c>
      <c r="G44" s="34">
        <f>COUNTIFS(S12:S29,"F",D12:D29,"ស")</f>
        <v>0</v>
      </c>
      <c r="H44" s="35">
        <f>COUNTIF(S12:S29,"A")</f>
        <v>0</v>
      </c>
      <c r="I44" s="34">
        <f>COUNTIFS(S12:S29,"A",D12:D29,"ស")</f>
        <v>0</v>
      </c>
      <c r="J44" s="35">
        <f>COUNTIF(S12:S29,"B")</f>
        <v>0</v>
      </c>
      <c r="K44" s="34">
        <f>COUNTIFS(S12:S29,"B",D12:D29,"ស")</f>
        <v>0</v>
      </c>
      <c r="L44" s="35">
        <f>COUNTIF(S12:S29,"C")</f>
        <v>4</v>
      </c>
      <c r="M44" s="34">
        <f>COUNTIFS(S12:S29,"C",D12:D29,"ស")</f>
        <v>1</v>
      </c>
      <c r="N44" s="35">
        <f>COUNTIF(S12:S29,"D")</f>
        <v>5</v>
      </c>
      <c r="O44" s="34">
        <f>COUNTIFS(S12:S29,"D",D12:D29,"ស")</f>
        <v>0</v>
      </c>
      <c r="P44" s="35">
        <f>COUNTIF(S12:S29,"E")</f>
        <v>8</v>
      </c>
      <c r="Q44" s="34">
        <f>COUNTIFS(S12:S29,"E",D12:D29,"ស")</f>
        <v>0</v>
      </c>
      <c r="R44" s="65">
        <f>COUNTIF(S12:S29,"NA")</f>
        <v>1</v>
      </c>
      <c r="S44" s="66">
        <f>COUNTIFS(S12:S29,"NA",D12:D29,"ស")</f>
        <v>0</v>
      </c>
      <c r="T44" s="34"/>
      <c r="U44" s="55"/>
    </row>
    <row r="45" spans="1:23" ht="26.25" customHeight="1" x14ac:dyDescent="0.25">
      <c r="A45" s="8"/>
    </row>
    <row r="46" spans="1:23" ht="23.25" x14ac:dyDescent="0.35">
      <c r="A46" s="8"/>
      <c r="B46" s="95"/>
      <c r="D46" s="54"/>
      <c r="O46" s="350" t="str">
        <f>ស្ថិតិលទ្ធផលសិក្សាតាមនិទ្ទេស!N68</f>
        <v>ថ្ងៃអង្គារ  ១៣កើត ខែចេត្រ ឆ្នាំម្សាញ់ សប្តស័ក ព.ស ២៥៦៩</v>
      </c>
      <c r="P46" s="350"/>
      <c r="Q46" s="350"/>
      <c r="R46" s="350"/>
      <c r="S46" s="350"/>
      <c r="T46" s="350"/>
      <c r="U46" s="350"/>
      <c r="V46" s="350"/>
      <c r="W46" s="350"/>
    </row>
    <row r="47" spans="1:23" ht="22.5" customHeight="1" x14ac:dyDescent="0.25">
      <c r="A47" s="30"/>
      <c r="B47" s="96"/>
      <c r="C47" s="96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9"/>
      <c r="O47" s="351" t="str">
        <f>ស្ថិតិលទ្ធផលសិក្សាតាមនិទ្ទេស!$N$69</f>
        <v>ធ្វើនៅដុនបូស្កូប៉ោយប៉ែត ថ្ងៃទី៣១ខែ មីនាឆ្នាំ ២០២៦</v>
      </c>
      <c r="P47" s="351"/>
      <c r="Q47" s="351"/>
      <c r="R47" s="351"/>
      <c r="S47" s="351"/>
      <c r="T47" s="351"/>
      <c r="U47" s="351"/>
      <c r="V47" s="351"/>
      <c r="W47" s="351"/>
    </row>
    <row r="48" spans="1:23" ht="24.95" customHeight="1" x14ac:dyDescent="0.65">
      <c r="A48" s="340" t="s">
        <v>22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11"/>
      <c r="O48" s="13"/>
      <c r="P48" s="13"/>
      <c r="Q48" s="321" t="s">
        <v>16</v>
      </c>
      <c r="R48" s="321"/>
      <c r="S48" s="321"/>
      <c r="T48" s="321"/>
      <c r="U48" s="321"/>
      <c r="V48" s="321"/>
      <c r="W48" s="321"/>
    </row>
    <row r="49" spans="1:19" ht="24.75" customHeight="1" x14ac:dyDescent="0.25">
      <c r="A49" s="340" t="str">
        <f>ស្ថិតិលទ្ធផលសិក្សាតាមនិទ្ទេស!A73</f>
        <v>នាយកសាលា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M49" s="340"/>
      <c r="N49" s="13"/>
      <c r="O49" s="13"/>
      <c r="P49" s="13"/>
      <c r="Q49" s="18"/>
      <c r="R49" s="19"/>
      <c r="S49" s="16"/>
    </row>
    <row r="50" spans="1:19" ht="21" customHeight="1" x14ac:dyDescent="0.25">
      <c r="N50" s="16"/>
      <c r="O50" s="16"/>
      <c r="P50" s="16"/>
      <c r="Q50" s="21"/>
      <c r="R50" s="16"/>
      <c r="S50" s="16"/>
    </row>
    <row r="51" spans="1:19" ht="21" x14ac:dyDescent="0.25">
      <c r="A51" s="14"/>
      <c r="B51" s="97"/>
      <c r="C51" s="97"/>
      <c r="D51" s="22"/>
      <c r="E51" s="22"/>
      <c r="F51" s="22"/>
      <c r="G51" s="22"/>
      <c r="I51" s="22"/>
      <c r="J51" s="17"/>
      <c r="K51" s="15"/>
      <c r="L51" s="15"/>
      <c r="M51" s="20"/>
      <c r="N51" s="16"/>
      <c r="O51" s="16"/>
      <c r="P51" s="16"/>
      <c r="Q51" s="21"/>
      <c r="R51" s="16"/>
      <c r="S51" s="16"/>
    </row>
  </sheetData>
  <mergeCells count="82">
    <mergeCell ref="E24:F24"/>
    <mergeCell ref="E23:F23"/>
    <mergeCell ref="E21:F21"/>
    <mergeCell ref="E22:F22"/>
    <mergeCell ref="E20:F20"/>
    <mergeCell ref="E19:F19"/>
    <mergeCell ref="E15:F15"/>
    <mergeCell ref="E14:F14"/>
    <mergeCell ref="E16:F16"/>
    <mergeCell ref="E18:F18"/>
    <mergeCell ref="E17:F17"/>
    <mergeCell ref="E33:F33"/>
    <mergeCell ref="A7:W7"/>
    <mergeCell ref="A8:W8"/>
    <mergeCell ref="A9:A11"/>
    <mergeCell ref="B9:B11"/>
    <mergeCell ref="C9:C11"/>
    <mergeCell ref="D9:D11"/>
    <mergeCell ref="U9:W10"/>
    <mergeCell ref="G10:G11"/>
    <mergeCell ref="H10:H11"/>
    <mergeCell ref="I10:I11"/>
    <mergeCell ref="J10:J11"/>
    <mergeCell ref="K10:K11"/>
    <mergeCell ref="Q9:Q11"/>
    <mergeCell ref="R9:R11"/>
    <mergeCell ref="E29:F29"/>
    <mergeCell ref="S9:S11"/>
    <mergeCell ref="A1:W1"/>
    <mergeCell ref="A2:W2"/>
    <mergeCell ref="A3:W3"/>
    <mergeCell ref="U4:W4"/>
    <mergeCell ref="T9:T11"/>
    <mergeCell ref="P10:P11"/>
    <mergeCell ref="A6:K6"/>
    <mergeCell ref="A4:K4"/>
    <mergeCell ref="A5:K5"/>
    <mergeCell ref="L10:L11"/>
    <mergeCell ref="E13:F13"/>
    <mergeCell ref="E9:F11"/>
    <mergeCell ref="G9:P9"/>
    <mergeCell ref="M10:M11"/>
    <mergeCell ref="N10:N11"/>
    <mergeCell ref="O10:O11"/>
    <mergeCell ref="E12:F12"/>
    <mergeCell ref="Q48:W48"/>
    <mergeCell ref="O46:W46"/>
    <mergeCell ref="N35:P35"/>
    <mergeCell ref="B34:C34"/>
    <mergeCell ref="E34:F34"/>
    <mergeCell ref="B35:C35"/>
    <mergeCell ref="E35:F35"/>
    <mergeCell ref="O47:W47"/>
    <mergeCell ref="A40:E40"/>
    <mergeCell ref="B38:C38"/>
    <mergeCell ref="E38:F38"/>
    <mergeCell ref="B39:I39"/>
    <mergeCell ref="B37:C37"/>
    <mergeCell ref="E37:F37"/>
    <mergeCell ref="B36:C36"/>
    <mergeCell ref="E36:F36"/>
    <mergeCell ref="B32:C32"/>
    <mergeCell ref="E32:F32"/>
    <mergeCell ref="B33:C33"/>
    <mergeCell ref="A49:M49"/>
    <mergeCell ref="B41:C42"/>
    <mergeCell ref="D41:E41"/>
    <mergeCell ref="H41:S41"/>
    <mergeCell ref="D42:E42"/>
    <mergeCell ref="F42:G42"/>
    <mergeCell ref="H42:I42"/>
    <mergeCell ref="J42:K42"/>
    <mergeCell ref="L42:M42"/>
    <mergeCell ref="N42:O42"/>
    <mergeCell ref="P42:Q42"/>
    <mergeCell ref="R42:S42"/>
    <mergeCell ref="A48:M48"/>
    <mergeCell ref="E25:F25"/>
    <mergeCell ref="E26:F26"/>
    <mergeCell ref="E27:F27"/>
    <mergeCell ref="E28:F28"/>
    <mergeCell ref="A30:N30"/>
  </mergeCells>
  <conditionalFormatting sqref="B24">
    <cfRule type="duplicateValues" dxfId="11" priority="8"/>
  </conditionalFormatting>
  <conditionalFormatting sqref="B25">
    <cfRule type="duplicateValues" dxfId="10" priority="5"/>
  </conditionalFormatting>
  <conditionalFormatting sqref="B26">
    <cfRule type="duplicateValues" dxfId="9" priority="6"/>
  </conditionalFormatting>
  <conditionalFormatting sqref="B27:B29">
    <cfRule type="duplicateValues" dxfId="8" priority="7"/>
  </conditionalFormatting>
  <conditionalFormatting sqref="C24">
    <cfRule type="duplicateValues" dxfId="7" priority="4"/>
  </conditionalFormatting>
  <conditionalFormatting sqref="C25">
    <cfRule type="duplicateValues" dxfId="6" priority="1"/>
  </conditionalFormatting>
  <conditionalFormatting sqref="C26">
    <cfRule type="duplicateValues" dxfId="5" priority="2"/>
  </conditionalFormatting>
  <conditionalFormatting sqref="C27:C29">
    <cfRule type="duplicateValues" dxfId="4" priority="3"/>
  </conditionalFormatting>
  <pageMargins left="0.12" right="0.12" top="0.12" bottom="0.12" header="0.12" footer="0.12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0"/>
  <sheetViews>
    <sheetView showWhiteSpace="0" view="pageBreakPreview" topLeftCell="A49" zoomScale="99" zoomScaleNormal="85" zoomScaleSheetLayoutView="99" zoomScalePageLayoutView="110" workbookViewId="0">
      <selection activeCell="I12" sqref="I12:I38"/>
    </sheetView>
  </sheetViews>
  <sheetFormatPr defaultRowHeight="15" x14ac:dyDescent="0.25"/>
  <cols>
    <col min="1" max="1" width="5" customWidth="1"/>
    <col min="2" max="2" width="8.85546875" customWidth="1"/>
    <col min="3" max="3" width="12.140625" customWidth="1"/>
    <col min="4" max="4" width="5.7109375" customWidth="1"/>
    <col min="5" max="5" width="11.85546875" customWidth="1"/>
    <col min="6" max="6" width="5.28515625" customWidth="1"/>
    <col min="7" max="13" width="5.42578125" customWidth="1"/>
    <col min="14" max="14" width="5" customWidth="1"/>
    <col min="15" max="15" width="4.85546875" customWidth="1"/>
    <col min="16" max="16" width="5.28515625" customWidth="1"/>
    <col min="17" max="17" width="5.85546875" customWidth="1"/>
    <col min="18" max="18" width="6.85546875" customWidth="1"/>
    <col min="19" max="19" width="5.140625" customWidth="1"/>
    <col min="20" max="20" width="6" customWidth="1"/>
    <col min="21" max="21" width="6.28515625" customWidth="1"/>
    <col min="22" max="23" width="5.85546875" customWidth="1"/>
  </cols>
  <sheetData>
    <row r="1" spans="1:23" ht="25.5" x14ac:dyDescent="0.25">
      <c r="A1" s="393" t="s">
        <v>13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</row>
    <row r="2" spans="1:23" ht="28.5" x14ac:dyDescent="0.25">
      <c r="A2" s="394" t="s">
        <v>19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</row>
    <row r="3" spans="1:23" ht="15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</row>
    <row r="4" spans="1:23" ht="23.25" x14ac:dyDescent="0.65">
      <c r="A4" s="244" t="s">
        <v>15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7"/>
      <c r="M4" s="7"/>
      <c r="N4" s="7"/>
      <c r="O4" s="7"/>
      <c r="P4" s="7"/>
      <c r="Q4" s="6"/>
      <c r="R4" s="5"/>
      <c r="S4" s="5"/>
      <c r="U4" s="395" t="s">
        <v>64</v>
      </c>
      <c r="V4" s="395"/>
      <c r="W4" s="395"/>
    </row>
    <row r="5" spans="1:23" ht="23.25" x14ac:dyDescent="0.65">
      <c r="A5" s="244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7"/>
      <c r="M5" s="7"/>
      <c r="N5" s="7"/>
      <c r="O5" s="7"/>
      <c r="P5" s="7"/>
      <c r="Q5" s="6"/>
      <c r="R5" s="5"/>
      <c r="S5" s="5"/>
    </row>
    <row r="6" spans="1:23" ht="23.25" x14ac:dyDescent="0.65">
      <c r="A6" s="244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7"/>
      <c r="M6" s="7"/>
      <c r="N6" s="7"/>
      <c r="O6" s="7"/>
      <c r="P6" s="7"/>
      <c r="Q6" s="6"/>
      <c r="R6" s="5"/>
      <c r="S6" s="5"/>
    </row>
    <row r="7" spans="1:23" ht="23.25" x14ac:dyDescent="0.25">
      <c r="A7" s="396" t="s">
        <v>531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</row>
    <row r="8" spans="1:23" ht="21" x14ac:dyDescent="0.25">
      <c r="A8" s="397" t="str">
        <f>កុំព្យទ័រ៣!A8</f>
        <v>ឆ្នាំសិក្សា ២០២៥- ២០២៦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</row>
    <row r="9" spans="1:23" ht="24.95" customHeight="1" x14ac:dyDescent="0.25">
      <c r="A9" s="398" t="s">
        <v>0</v>
      </c>
      <c r="B9" s="398" t="s">
        <v>25</v>
      </c>
      <c r="C9" s="398" t="s">
        <v>20</v>
      </c>
      <c r="D9" s="398" t="s">
        <v>21</v>
      </c>
      <c r="E9" s="398" t="s">
        <v>50</v>
      </c>
      <c r="F9" s="398"/>
      <c r="G9" s="402" t="s">
        <v>23</v>
      </c>
      <c r="H9" s="402"/>
      <c r="I9" s="402"/>
      <c r="J9" s="402"/>
      <c r="K9" s="402"/>
      <c r="L9" s="402"/>
      <c r="M9" s="402"/>
      <c r="N9" s="402"/>
      <c r="O9" s="402"/>
      <c r="P9" s="402"/>
      <c r="Q9" s="403" t="s">
        <v>3</v>
      </c>
      <c r="R9" s="390" t="s">
        <v>24</v>
      </c>
      <c r="S9" s="398" t="s">
        <v>8</v>
      </c>
      <c r="T9" s="391" t="s">
        <v>45</v>
      </c>
      <c r="U9" s="392" t="s">
        <v>47</v>
      </c>
      <c r="V9" s="392"/>
      <c r="W9" s="392"/>
    </row>
    <row r="10" spans="1:23" ht="21" customHeight="1" x14ac:dyDescent="0.25">
      <c r="A10" s="398"/>
      <c r="B10" s="398"/>
      <c r="C10" s="398"/>
      <c r="D10" s="398"/>
      <c r="E10" s="398"/>
      <c r="F10" s="398"/>
      <c r="G10" s="386" t="s">
        <v>53</v>
      </c>
      <c r="H10" s="386" t="s">
        <v>54</v>
      </c>
      <c r="I10" s="386" t="s">
        <v>97</v>
      </c>
      <c r="J10" s="386" t="s">
        <v>98</v>
      </c>
      <c r="K10" s="386" t="s">
        <v>99</v>
      </c>
      <c r="L10" s="386" t="s">
        <v>100</v>
      </c>
      <c r="M10" s="386" t="s">
        <v>101</v>
      </c>
      <c r="N10" s="386" t="s">
        <v>102</v>
      </c>
      <c r="O10" s="386" t="s">
        <v>104</v>
      </c>
      <c r="P10" s="386" t="s">
        <v>103</v>
      </c>
      <c r="Q10" s="403"/>
      <c r="R10" s="390"/>
      <c r="S10" s="398"/>
      <c r="T10" s="391"/>
      <c r="U10" s="392"/>
      <c r="V10" s="392"/>
      <c r="W10" s="392"/>
    </row>
    <row r="11" spans="1:23" ht="32.25" customHeight="1" x14ac:dyDescent="0.25">
      <c r="A11" s="398"/>
      <c r="B11" s="398"/>
      <c r="C11" s="398"/>
      <c r="D11" s="398"/>
      <c r="E11" s="398"/>
      <c r="F11" s="398"/>
      <c r="G11" s="387"/>
      <c r="H11" s="387"/>
      <c r="I11" s="387"/>
      <c r="J11" s="387"/>
      <c r="K11" s="387"/>
      <c r="L11" s="387"/>
      <c r="M11" s="387"/>
      <c r="N11" s="387"/>
      <c r="O11" s="387"/>
      <c r="P11" s="387"/>
      <c r="Q11" s="403"/>
      <c r="R11" s="390"/>
      <c r="S11" s="398"/>
      <c r="T11" s="391"/>
      <c r="U11" s="152" t="s">
        <v>48</v>
      </c>
      <c r="V11" s="152" t="s">
        <v>49</v>
      </c>
      <c r="W11" s="150" t="s">
        <v>3</v>
      </c>
    </row>
    <row r="12" spans="1:23" ht="23.45" customHeight="1" x14ac:dyDescent="0.25">
      <c r="A12" s="176">
        <v>1</v>
      </c>
      <c r="B12" s="106" t="s">
        <v>109</v>
      </c>
      <c r="C12" s="106" t="s">
        <v>261</v>
      </c>
      <c r="D12" s="106" t="s">
        <v>31</v>
      </c>
      <c r="E12" s="486">
        <v>38779</v>
      </c>
      <c r="F12" s="487"/>
      <c r="G12" s="161">
        <v>50</v>
      </c>
      <c r="H12" s="162">
        <v>51</v>
      </c>
      <c r="I12" s="161">
        <v>28</v>
      </c>
      <c r="J12" s="210">
        <v>33</v>
      </c>
      <c r="K12" s="161">
        <v>21</v>
      </c>
      <c r="L12" s="162">
        <v>20</v>
      </c>
      <c r="M12" s="162">
        <v>90</v>
      </c>
      <c r="N12" s="162">
        <v>95</v>
      </c>
      <c r="O12" s="162">
        <v>93</v>
      </c>
      <c r="P12" s="161">
        <v>110</v>
      </c>
      <c r="Q12" s="142">
        <f>SUM(G12:P12)-W12</f>
        <v>590</v>
      </c>
      <c r="R12" s="131">
        <f>Q12/14.5</f>
        <v>40.689655172413794</v>
      </c>
      <c r="S12" s="132" t="str">
        <f t="shared" ref="S12:S38" si="0">IF(R12&gt;=50*0.9,"A",IF(R12&gt;=50*0.8,"B",IF(R12&gt;=50*0.7,"C",IF(R12&gt;=50*0.6,"D",IF(R12&gt;=50*0.5,"E",IF(Q12=0,"NA","F"))))))</f>
        <v>B</v>
      </c>
      <c r="T12" s="127">
        <f t="shared" ref="T12:T38" si="1">RANK(R12,$R$12:$R$38)</f>
        <v>8</v>
      </c>
      <c r="U12" s="161">
        <v>1</v>
      </c>
      <c r="V12" s="161">
        <v>0</v>
      </c>
      <c r="W12" s="153">
        <f>SUM(U12:V12)</f>
        <v>1</v>
      </c>
    </row>
    <row r="13" spans="1:23" ht="23.25" x14ac:dyDescent="0.25">
      <c r="A13" s="176">
        <v>2</v>
      </c>
      <c r="B13" s="106" t="s">
        <v>240</v>
      </c>
      <c r="C13" s="106" t="s">
        <v>262</v>
      </c>
      <c r="D13" s="106" t="s">
        <v>32</v>
      </c>
      <c r="E13" s="486">
        <v>39838</v>
      </c>
      <c r="F13" s="487"/>
      <c r="G13" s="161">
        <v>54</v>
      </c>
      <c r="H13" s="162">
        <v>44</v>
      </c>
      <c r="I13" s="161">
        <v>26</v>
      </c>
      <c r="J13" s="210">
        <v>36</v>
      </c>
      <c r="K13" s="161">
        <v>24</v>
      </c>
      <c r="L13" s="162">
        <v>20</v>
      </c>
      <c r="M13" s="162">
        <v>80</v>
      </c>
      <c r="N13" s="162">
        <v>100</v>
      </c>
      <c r="O13" s="162">
        <v>100</v>
      </c>
      <c r="P13" s="161">
        <v>120</v>
      </c>
      <c r="Q13" s="141">
        <f t="shared" ref="Q13:Q38" si="2">SUM(G13:P13)-W13</f>
        <v>602</v>
      </c>
      <c r="R13" s="145">
        <f t="shared" ref="R13:R38" si="3">Q13/14.5</f>
        <v>41.517241379310342</v>
      </c>
      <c r="S13" s="146" t="str">
        <f t="shared" si="0"/>
        <v>B</v>
      </c>
      <c r="T13" s="130">
        <f t="shared" si="1"/>
        <v>6</v>
      </c>
      <c r="U13" s="161">
        <v>2</v>
      </c>
      <c r="V13" s="161">
        <v>0</v>
      </c>
      <c r="W13" s="153">
        <f t="shared" ref="W13:W38" si="4">SUM(U13:V13)</f>
        <v>2</v>
      </c>
    </row>
    <row r="14" spans="1:23" ht="23.45" customHeight="1" x14ac:dyDescent="0.25">
      <c r="A14" s="176">
        <v>3</v>
      </c>
      <c r="B14" s="106" t="s">
        <v>241</v>
      </c>
      <c r="C14" s="106" t="s">
        <v>263</v>
      </c>
      <c r="D14" s="106" t="s">
        <v>32</v>
      </c>
      <c r="E14" s="486">
        <v>39507</v>
      </c>
      <c r="F14" s="487"/>
      <c r="G14" s="161">
        <v>49</v>
      </c>
      <c r="H14" s="162">
        <v>20</v>
      </c>
      <c r="I14" s="161">
        <v>25</v>
      </c>
      <c r="J14" s="210">
        <v>30</v>
      </c>
      <c r="K14" s="161">
        <v>24</v>
      </c>
      <c r="L14" s="162">
        <v>20</v>
      </c>
      <c r="M14" s="162">
        <v>70</v>
      </c>
      <c r="N14" s="162">
        <v>95</v>
      </c>
      <c r="O14" s="162">
        <v>88</v>
      </c>
      <c r="P14" s="161">
        <v>113</v>
      </c>
      <c r="Q14" s="142">
        <f t="shared" si="2"/>
        <v>534</v>
      </c>
      <c r="R14" s="131">
        <f t="shared" si="3"/>
        <v>36.827586206896555</v>
      </c>
      <c r="S14" s="132" t="str">
        <f t="shared" si="0"/>
        <v>C</v>
      </c>
      <c r="T14" s="127">
        <f t="shared" si="1"/>
        <v>19</v>
      </c>
      <c r="U14" s="161">
        <v>0</v>
      </c>
      <c r="V14" s="161">
        <v>0</v>
      </c>
      <c r="W14" s="153">
        <f t="shared" si="4"/>
        <v>0</v>
      </c>
    </row>
    <row r="15" spans="1:23" ht="23.45" customHeight="1" x14ac:dyDescent="0.25">
      <c r="A15" s="176">
        <v>4</v>
      </c>
      <c r="B15" s="106" t="s">
        <v>130</v>
      </c>
      <c r="C15" s="106" t="s">
        <v>264</v>
      </c>
      <c r="D15" s="106" t="s">
        <v>32</v>
      </c>
      <c r="E15" s="486">
        <v>40143</v>
      </c>
      <c r="F15" s="487"/>
      <c r="G15" s="161">
        <v>45</v>
      </c>
      <c r="H15" s="162">
        <v>52</v>
      </c>
      <c r="I15" s="161">
        <v>40</v>
      </c>
      <c r="J15" s="210">
        <v>22</v>
      </c>
      <c r="K15" s="161">
        <v>21</v>
      </c>
      <c r="L15" s="162">
        <v>20</v>
      </c>
      <c r="M15" s="162">
        <v>80</v>
      </c>
      <c r="N15" s="162">
        <v>95</v>
      </c>
      <c r="O15" s="162">
        <v>95</v>
      </c>
      <c r="P15" s="161">
        <v>116</v>
      </c>
      <c r="Q15" s="142">
        <f t="shared" si="2"/>
        <v>584</v>
      </c>
      <c r="R15" s="131">
        <f t="shared" si="3"/>
        <v>40.275862068965516</v>
      </c>
      <c r="S15" s="132" t="str">
        <f t="shared" si="0"/>
        <v>B</v>
      </c>
      <c r="T15" s="127">
        <f t="shared" si="1"/>
        <v>9</v>
      </c>
      <c r="U15" s="161">
        <v>2</v>
      </c>
      <c r="V15" s="161">
        <v>0</v>
      </c>
      <c r="W15" s="153">
        <f t="shared" si="4"/>
        <v>2</v>
      </c>
    </row>
    <row r="16" spans="1:23" ht="23.45" customHeight="1" x14ac:dyDescent="0.25">
      <c r="A16" s="176">
        <v>5</v>
      </c>
      <c r="B16" s="106" t="s">
        <v>130</v>
      </c>
      <c r="C16" s="106" t="s">
        <v>265</v>
      </c>
      <c r="D16" s="106" t="s">
        <v>32</v>
      </c>
      <c r="E16" s="486">
        <v>39782</v>
      </c>
      <c r="F16" s="487">
        <v>39782</v>
      </c>
      <c r="G16" s="161">
        <v>50</v>
      </c>
      <c r="H16" s="162">
        <v>27</v>
      </c>
      <c r="I16" s="161">
        <v>29</v>
      </c>
      <c r="J16" s="210">
        <v>39</v>
      </c>
      <c r="K16" s="161">
        <v>24</v>
      </c>
      <c r="L16" s="162">
        <v>20</v>
      </c>
      <c r="M16" s="162">
        <v>95</v>
      </c>
      <c r="N16" s="162">
        <v>90</v>
      </c>
      <c r="O16" s="162">
        <v>93</v>
      </c>
      <c r="P16" s="161">
        <v>113</v>
      </c>
      <c r="Q16" s="142">
        <f t="shared" si="2"/>
        <v>576</v>
      </c>
      <c r="R16" s="131">
        <f t="shared" si="3"/>
        <v>39.724137931034484</v>
      </c>
      <c r="S16" s="132" t="str">
        <f t="shared" si="0"/>
        <v>C</v>
      </c>
      <c r="T16" s="127">
        <f t="shared" si="1"/>
        <v>12</v>
      </c>
      <c r="U16" s="161">
        <v>4</v>
      </c>
      <c r="V16" s="161">
        <v>0</v>
      </c>
      <c r="W16" s="153">
        <f t="shared" si="4"/>
        <v>4</v>
      </c>
    </row>
    <row r="17" spans="1:23" s="91" customFormat="1" ht="23.45" customHeight="1" x14ac:dyDescent="0.25">
      <c r="A17" s="176">
        <v>6</v>
      </c>
      <c r="B17" s="106" t="s">
        <v>242</v>
      </c>
      <c r="C17" s="106" t="s">
        <v>266</v>
      </c>
      <c r="D17" s="106" t="s">
        <v>32</v>
      </c>
      <c r="E17" s="486">
        <v>39810</v>
      </c>
      <c r="F17" s="487"/>
      <c r="G17" s="161">
        <v>50</v>
      </c>
      <c r="H17" s="162">
        <v>27</v>
      </c>
      <c r="I17" s="161">
        <v>25</v>
      </c>
      <c r="J17" s="210">
        <v>29</v>
      </c>
      <c r="K17" s="161">
        <v>23</v>
      </c>
      <c r="L17" s="162">
        <v>20</v>
      </c>
      <c r="M17" s="162">
        <v>85</v>
      </c>
      <c r="N17" s="162">
        <v>90</v>
      </c>
      <c r="O17" s="162">
        <v>85</v>
      </c>
      <c r="P17" s="161">
        <v>113</v>
      </c>
      <c r="Q17" s="141">
        <f t="shared" si="2"/>
        <v>547</v>
      </c>
      <c r="R17" s="145">
        <f t="shared" si="3"/>
        <v>37.724137931034484</v>
      </c>
      <c r="S17" s="146" t="str">
        <f t="shared" si="0"/>
        <v>C</v>
      </c>
      <c r="T17" s="130">
        <f t="shared" si="1"/>
        <v>15</v>
      </c>
      <c r="U17" s="161">
        <v>0</v>
      </c>
      <c r="V17" s="161">
        <v>0</v>
      </c>
      <c r="W17" s="153">
        <f t="shared" si="4"/>
        <v>0</v>
      </c>
    </row>
    <row r="18" spans="1:23" s="91" customFormat="1" ht="23.45" customHeight="1" x14ac:dyDescent="0.25">
      <c r="A18" s="176">
        <v>7</v>
      </c>
      <c r="B18" s="106" t="s">
        <v>243</v>
      </c>
      <c r="C18" s="106" t="s">
        <v>267</v>
      </c>
      <c r="D18" s="106" t="s">
        <v>32</v>
      </c>
      <c r="E18" s="486">
        <v>40030</v>
      </c>
      <c r="F18" s="487"/>
      <c r="G18" s="161">
        <v>49</v>
      </c>
      <c r="H18" s="162">
        <v>44</v>
      </c>
      <c r="I18" s="161">
        <v>26</v>
      </c>
      <c r="J18" s="210">
        <v>35</v>
      </c>
      <c r="K18" s="161">
        <v>25</v>
      </c>
      <c r="L18" s="162">
        <v>20</v>
      </c>
      <c r="M18" s="162">
        <v>90</v>
      </c>
      <c r="N18" s="162">
        <v>100</v>
      </c>
      <c r="O18" s="162">
        <v>100</v>
      </c>
      <c r="P18" s="161">
        <v>122</v>
      </c>
      <c r="Q18" s="142">
        <f t="shared" si="2"/>
        <v>611</v>
      </c>
      <c r="R18" s="131">
        <f t="shared" si="3"/>
        <v>42.137931034482762</v>
      </c>
      <c r="S18" s="132" t="str">
        <f t="shared" si="0"/>
        <v>B</v>
      </c>
      <c r="T18" s="127">
        <f t="shared" si="1"/>
        <v>4</v>
      </c>
      <c r="U18" s="161">
        <v>0</v>
      </c>
      <c r="V18" s="161">
        <v>0</v>
      </c>
      <c r="W18" s="153">
        <f t="shared" si="4"/>
        <v>0</v>
      </c>
    </row>
    <row r="19" spans="1:23" ht="23.45" customHeight="1" x14ac:dyDescent="0.25">
      <c r="A19" s="176">
        <v>8</v>
      </c>
      <c r="B19" s="106" t="s">
        <v>244</v>
      </c>
      <c r="C19" s="106" t="s">
        <v>268</v>
      </c>
      <c r="D19" s="106" t="s">
        <v>32</v>
      </c>
      <c r="E19" s="486">
        <v>39886</v>
      </c>
      <c r="F19" s="487">
        <v>39886</v>
      </c>
      <c r="G19" s="161">
        <v>50</v>
      </c>
      <c r="H19" s="162">
        <v>49</v>
      </c>
      <c r="I19" s="161">
        <v>38</v>
      </c>
      <c r="J19" s="210">
        <v>36</v>
      </c>
      <c r="K19" s="161">
        <v>24</v>
      </c>
      <c r="L19" s="162">
        <v>20</v>
      </c>
      <c r="M19" s="162">
        <v>95</v>
      </c>
      <c r="N19" s="162">
        <v>100</v>
      </c>
      <c r="O19" s="162">
        <v>100</v>
      </c>
      <c r="P19" s="161">
        <v>113</v>
      </c>
      <c r="Q19" s="141">
        <f t="shared" si="2"/>
        <v>625</v>
      </c>
      <c r="R19" s="145">
        <f t="shared" si="3"/>
        <v>43.103448275862071</v>
      </c>
      <c r="S19" s="146" t="str">
        <f t="shared" si="0"/>
        <v>B</v>
      </c>
      <c r="T19" s="130">
        <f t="shared" si="1"/>
        <v>2</v>
      </c>
      <c r="U19" s="161">
        <v>0</v>
      </c>
      <c r="V19" s="161">
        <v>0</v>
      </c>
      <c r="W19" s="153">
        <f t="shared" si="4"/>
        <v>0</v>
      </c>
    </row>
    <row r="20" spans="1:23" ht="23.45" customHeight="1" x14ac:dyDescent="0.25">
      <c r="A20" s="176">
        <v>9</v>
      </c>
      <c r="B20" s="106" t="s">
        <v>245</v>
      </c>
      <c r="C20" s="106" t="s">
        <v>269</v>
      </c>
      <c r="D20" s="106" t="s">
        <v>31</v>
      </c>
      <c r="E20" s="486">
        <v>39790</v>
      </c>
      <c r="F20" s="487">
        <v>39790</v>
      </c>
      <c r="G20" s="161">
        <v>30</v>
      </c>
      <c r="H20" s="162">
        <v>49</v>
      </c>
      <c r="I20" s="161">
        <v>28</v>
      </c>
      <c r="J20" s="210">
        <v>30</v>
      </c>
      <c r="K20" s="161">
        <v>24</v>
      </c>
      <c r="L20" s="162">
        <v>20</v>
      </c>
      <c r="M20" s="162">
        <v>80</v>
      </c>
      <c r="N20" s="162">
        <v>85</v>
      </c>
      <c r="O20" s="162">
        <v>88</v>
      </c>
      <c r="P20" s="161">
        <v>114</v>
      </c>
      <c r="Q20" s="142">
        <f t="shared" si="2"/>
        <v>546</v>
      </c>
      <c r="R20" s="131">
        <f t="shared" si="3"/>
        <v>37.655172413793103</v>
      </c>
      <c r="S20" s="132" t="str">
        <f t="shared" si="0"/>
        <v>C</v>
      </c>
      <c r="T20" s="127">
        <f t="shared" si="1"/>
        <v>17</v>
      </c>
      <c r="U20" s="161">
        <v>2</v>
      </c>
      <c r="V20" s="161">
        <v>0</v>
      </c>
      <c r="W20" s="153">
        <f t="shared" si="4"/>
        <v>2</v>
      </c>
    </row>
    <row r="21" spans="1:23" ht="23.45" customHeight="1" x14ac:dyDescent="0.25">
      <c r="A21" s="176">
        <v>10</v>
      </c>
      <c r="B21" s="106" t="s">
        <v>246</v>
      </c>
      <c r="C21" s="106" t="s">
        <v>270</v>
      </c>
      <c r="D21" s="106" t="s">
        <v>31</v>
      </c>
      <c r="E21" s="486">
        <v>39902</v>
      </c>
      <c r="F21" s="487">
        <v>39902</v>
      </c>
      <c r="G21" s="161">
        <v>30</v>
      </c>
      <c r="H21" s="162">
        <v>49</v>
      </c>
      <c r="I21" s="161">
        <v>27</v>
      </c>
      <c r="J21" s="210">
        <v>30</v>
      </c>
      <c r="K21" s="161">
        <v>24</v>
      </c>
      <c r="L21" s="162">
        <v>20</v>
      </c>
      <c r="M21" s="162">
        <v>75</v>
      </c>
      <c r="N21" s="162">
        <v>85</v>
      </c>
      <c r="O21" s="162">
        <v>90</v>
      </c>
      <c r="P21" s="161">
        <v>116</v>
      </c>
      <c r="Q21" s="142">
        <f t="shared" si="2"/>
        <v>542</v>
      </c>
      <c r="R21" s="131">
        <f t="shared" si="3"/>
        <v>37.379310344827587</v>
      </c>
      <c r="S21" s="132" t="str">
        <f t="shared" si="0"/>
        <v>C</v>
      </c>
      <c r="T21" s="127">
        <f t="shared" si="1"/>
        <v>18</v>
      </c>
      <c r="U21" s="161">
        <v>3</v>
      </c>
      <c r="V21" s="161">
        <v>1</v>
      </c>
      <c r="W21" s="153">
        <f t="shared" si="4"/>
        <v>4</v>
      </c>
    </row>
    <row r="22" spans="1:23" ht="23.45" customHeight="1" x14ac:dyDescent="0.25">
      <c r="A22" s="176">
        <v>11</v>
      </c>
      <c r="B22" s="106" t="s">
        <v>247</v>
      </c>
      <c r="C22" s="106" t="s">
        <v>271</v>
      </c>
      <c r="D22" s="106" t="s">
        <v>32</v>
      </c>
      <c r="E22" s="486">
        <v>39971</v>
      </c>
      <c r="F22" s="487">
        <v>39971</v>
      </c>
      <c r="G22" s="161">
        <v>39</v>
      </c>
      <c r="H22" s="162">
        <v>40</v>
      </c>
      <c r="I22" s="161">
        <v>24</v>
      </c>
      <c r="J22" s="210">
        <v>42</v>
      </c>
      <c r="K22" s="161">
        <v>23</v>
      </c>
      <c r="L22" s="162">
        <v>20</v>
      </c>
      <c r="M22" s="162">
        <v>70</v>
      </c>
      <c r="N22" s="162">
        <v>70</v>
      </c>
      <c r="O22" s="162">
        <v>60</v>
      </c>
      <c r="P22" s="161">
        <v>108</v>
      </c>
      <c r="Q22" s="142">
        <f t="shared" si="2"/>
        <v>488</v>
      </c>
      <c r="R22" s="131">
        <f t="shared" si="3"/>
        <v>33.655172413793103</v>
      </c>
      <c r="S22" s="132" t="str">
        <f t="shared" si="0"/>
        <v>D</v>
      </c>
      <c r="T22" s="127">
        <f t="shared" si="1"/>
        <v>23</v>
      </c>
      <c r="U22" s="161">
        <v>7</v>
      </c>
      <c r="V22" s="161">
        <v>1</v>
      </c>
      <c r="W22" s="153">
        <f t="shared" si="4"/>
        <v>8</v>
      </c>
    </row>
    <row r="23" spans="1:23" ht="23.45" customHeight="1" x14ac:dyDescent="0.25">
      <c r="A23" s="176">
        <v>12</v>
      </c>
      <c r="B23" s="106" t="s">
        <v>248</v>
      </c>
      <c r="C23" s="106" t="s">
        <v>272</v>
      </c>
      <c r="D23" s="106" t="s">
        <v>32</v>
      </c>
      <c r="E23" s="486">
        <v>39561</v>
      </c>
      <c r="F23" s="487">
        <v>39561</v>
      </c>
      <c r="G23" s="161">
        <v>45</v>
      </c>
      <c r="H23" s="162">
        <v>39</v>
      </c>
      <c r="I23" s="161">
        <v>36</v>
      </c>
      <c r="J23" s="210">
        <v>27</v>
      </c>
      <c r="K23" s="161">
        <v>21</v>
      </c>
      <c r="L23" s="162">
        <v>20</v>
      </c>
      <c r="M23" s="162">
        <v>65</v>
      </c>
      <c r="N23" s="162">
        <v>90</v>
      </c>
      <c r="O23" s="162">
        <v>70</v>
      </c>
      <c r="P23" s="161">
        <v>120</v>
      </c>
      <c r="Q23" s="141">
        <f t="shared" si="2"/>
        <v>532</v>
      </c>
      <c r="R23" s="145">
        <f t="shared" si="3"/>
        <v>36.689655172413794</v>
      </c>
      <c r="S23" s="146" t="str">
        <f t="shared" si="0"/>
        <v>C</v>
      </c>
      <c r="T23" s="130">
        <f t="shared" si="1"/>
        <v>20</v>
      </c>
      <c r="U23" s="161">
        <v>1</v>
      </c>
      <c r="V23" s="161">
        <v>0</v>
      </c>
      <c r="W23" s="153">
        <f t="shared" si="4"/>
        <v>1</v>
      </c>
    </row>
    <row r="24" spans="1:23" ht="23.45" customHeight="1" x14ac:dyDescent="0.25">
      <c r="A24" s="176">
        <v>13</v>
      </c>
      <c r="B24" s="106" t="s">
        <v>249</v>
      </c>
      <c r="C24" s="106" t="s">
        <v>179</v>
      </c>
      <c r="D24" s="106" t="s">
        <v>32</v>
      </c>
      <c r="E24" s="486">
        <v>39266</v>
      </c>
      <c r="F24" s="487">
        <v>39266</v>
      </c>
      <c r="G24" s="161">
        <v>54</v>
      </c>
      <c r="H24" s="162">
        <v>40</v>
      </c>
      <c r="I24" s="161">
        <v>29</v>
      </c>
      <c r="J24" s="210">
        <v>32</v>
      </c>
      <c r="K24" s="161">
        <v>22</v>
      </c>
      <c r="L24" s="162">
        <v>20</v>
      </c>
      <c r="M24" s="162">
        <v>90</v>
      </c>
      <c r="N24" s="162">
        <v>95</v>
      </c>
      <c r="O24" s="162">
        <v>83</v>
      </c>
      <c r="P24" s="161">
        <v>103</v>
      </c>
      <c r="Q24" s="142">
        <f t="shared" si="2"/>
        <v>568</v>
      </c>
      <c r="R24" s="131">
        <f t="shared" si="3"/>
        <v>39.172413793103445</v>
      </c>
      <c r="S24" s="132" t="str">
        <f t="shared" si="0"/>
        <v>C</v>
      </c>
      <c r="T24" s="127">
        <f t="shared" si="1"/>
        <v>13</v>
      </c>
      <c r="U24" s="161">
        <v>0</v>
      </c>
      <c r="V24" s="161">
        <v>0</v>
      </c>
      <c r="W24" s="153">
        <f t="shared" si="4"/>
        <v>0</v>
      </c>
    </row>
    <row r="25" spans="1:23" ht="23.45" customHeight="1" x14ac:dyDescent="0.25">
      <c r="A25" s="176">
        <v>14</v>
      </c>
      <c r="B25" s="106" t="s">
        <v>250</v>
      </c>
      <c r="C25" s="106" t="s">
        <v>273</v>
      </c>
      <c r="D25" s="106" t="s">
        <v>32</v>
      </c>
      <c r="E25" s="486">
        <v>39794</v>
      </c>
      <c r="F25" s="487">
        <v>39794</v>
      </c>
      <c r="G25" s="161">
        <v>49</v>
      </c>
      <c r="H25" s="162">
        <v>47</v>
      </c>
      <c r="I25" s="161">
        <v>28</v>
      </c>
      <c r="J25" s="210">
        <v>33</v>
      </c>
      <c r="K25" s="161">
        <v>25</v>
      </c>
      <c r="L25" s="162">
        <v>20</v>
      </c>
      <c r="M25" s="162">
        <v>90</v>
      </c>
      <c r="N25" s="162">
        <v>95</v>
      </c>
      <c r="O25" s="162">
        <v>93</v>
      </c>
      <c r="P25" s="161">
        <v>113</v>
      </c>
      <c r="Q25" s="141">
        <f t="shared" si="2"/>
        <v>593</v>
      </c>
      <c r="R25" s="145">
        <f t="shared" si="3"/>
        <v>40.896551724137929</v>
      </c>
      <c r="S25" s="146" t="str">
        <f t="shared" si="0"/>
        <v>B</v>
      </c>
      <c r="T25" s="130">
        <f t="shared" si="1"/>
        <v>7</v>
      </c>
      <c r="U25" s="161">
        <v>0</v>
      </c>
      <c r="V25" s="161">
        <v>0</v>
      </c>
      <c r="W25" s="153">
        <f t="shared" si="4"/>
        <v>0</v>
      </c>
    </row>
    <row r="26" spans="1:23" ht="23.45" customHeight="1" x14ac:dyDescent="0.25">
      <c r="A26" s="176">
        <v>15</v>
      </c>
      <c r="B26" s="106" t="s">
        <v>251</v>
      </c>
      <c r="C26" s="106" t="s">
        <v>274</v>
      </c>
      <c r="D26" s="106" t="s">
        <v>31</v>
      </c>
      <c r="E26" s="486">
        <v>39719</v>
      </c>
      <c r="F26" s="487">
        <v>39719</v>
      </c>
      <c r="G26" s="161">
        <v>59</v>
      </c>
      <c r="H26" s="162">
        <v>27</v>
      </c>
      <c r="I26" s="161">
        <v>37</v>
      </c>
      <c r="J26" s="210">
        <v>30</v>
      </c>
      <c r="K26" s="161">
        <v>22</v>
      </c>
      <c r="L26" s="162">
        <v>20</v>
      </c>
      <c r="M26" s="162">
        <v>60</v>
      </c>
      <c r="N26" s="162">
        <v>70</v>
      </c>
      <c r="O26" s="162">
        <v>75</v>
      </c>
      <c r="P26" s="161">
        <v>109</v>
      </c>
      <c r="Q26" s="142">
        <f t="shared" si="2"/>
        <v>507</v>
      </c>
      <c r="R26" s="131">
        <f t="shared" si="3"/>
        <v>34.96551724137931</v>
      </c>
      <c r="S26" s="132" t="str">
        <f t="shared" si="0"/>
        <v>D</v>
      </c>
      <c r="T26" s="127">
        <f t="shared" si="1"/>
        <v>22</v>
      </c>
      <c r="U26" s="161">
        <v>2</v>
      </c>
      <c r="V26" s="161">
        <v>0</v>
      </c>
      <c r="W26" s="153">
        <f t="shared" si="4"/>
        <v>2</v>
      </c>
    </row>
    <row r="27" spans="1:23" ht="23.45" customHeight="1" x14ac:dyDescent="0.25">
      <c r="A27" s="176">
        <v>16</v>
      </c>
      <c r="B27" s="106" t="s">
        <v>252</v>
      </c>
      <c r="C27" s="106" t="s">
        <v>275</v>
      </c>
      <c r="D27" s="106" t="s">
        <v>32</v>
      </c>
      <c r="E27" s="486">
        <v>40044</v>
      </c>
      <c r="F27" s="487">
        <v>40044</v>
      </c>
      <c r="G27" s="161">
        <v>30</v>
      </c>
      <c r="H27" s="162">
        <v>40</v>
      </c>
      <c r="I27" s="161">
        <v>20</v>
      </c>
      <c r="J27" s="210">
        <v>48</v>
      </c>
      <c r="K27" s="161">
        <v>21</v>
      </c>
      <c r="L27" s="162">
        <v>20</v>
      </c>
      <c r="M27" s="162">
        <v>65</v>
      </c>
      <c r="N27" s="162">
        <v>70</v>
      </c>
      <c r="O27" s="162">
        <v>70</v>
      </c>
      <c r="P27" s="161">
        <v>83</v>
      </c>
      <c r="Q27" s="142">
        <f t="shared" si="2"/>
        <v>457</v>
      </c>
      <c r="R27" s="131">
        <f t="shared" si="3"/>
        <v>31.517241379310345</v>
      </c>
      <c r="S27" s="132" t="str">
        <f t="shared" si="0"/>
        <v>D</v>
      </c>
      <c r="T27" s="127">
        <f t="shared" si="1"/>
        <v>27</v>
      </c>
      <c r="U27" s="161">
        <v>10</v>
      </c>
      <c r="V27" s="161">
        <v>0</v>
      </c>
      <c r="W27" s="153">
        <f t="shared" si="4"/>
        <v>10</v>
      </c>
    </row>
    <row r="28" spans="1:23" ht="23.45" customHeight="1" x14ac:dyDescent="0.25">
      <c r="A28" s="176">
        <v>17</v>
      </c>
      <c r="B28" s="106" t="s">
        <v>162</v>
      </c>
      <c r="C28" s="106" t="s">
        <v>276</v>
      </c>
      <c r="D28" s="106" t="s">
        <v>31</v>
      </c>
      <c r="E28" s="486">
        <v>40022</v>
      </c>
      <c r="F28" s="487">
        <v>40022</v>
      </c>
      <c r="G28" s="161">
        <v>30</v>
      </c>
      <c r="H28" s="162">
        <v>27</v>
      </c>
      <c r="I28" s="161">
        <v>24</v>
      </c>
      <c r="J28" s="210">
        <v>30</v>
      </c>
      <c r="K28" s="161">
        <v>21</v>
      </c>
      <c r="L28" s="162">
        <v>20</v>
      </c>
      <c r="M28" s="162">
        <v>65</v>
      </c>
      <c r="N28" s="162">
        <v>90</v>
      </c>
      <c r="O28" s="162">
        <v>85</v>
      </c>
      <c r="P28" s="161">
        <v>90</v>
      </c>
      <c r="Q28" s="142">
        <f t="shared" si="2"/>
        <v>479</v>
      </c>
      <c r="R28" s="131">
        <f t="shared" si="3"/>
        <v>33.03448275862069</v>
      </c>
      <c r="S28" s="132" t="str">
        <f t="shared" si="0"/>
        <v>D</v>
      </c>
      <c r="T28" s="127">
        <f t="shared" si="1"/>
        <v>24</v>
      </c>
      <c r="U28" s="161">
        <v>3</v>
      </c>
      <c r="V28" s="161">
        <v>0</v>
      </c>
      <c r="W28" s="153">
        <f t="shared" si="4"/>
        <v>3</v>
      </c>
    </row>
    <row r="29" spans="1:23" ht="23.45" customHeight="1" x14ac:dyDescent="0.25">
      <c r="A29" s="176">
        <v>18</v>
      </c>
      <c r="B29" s="106" t="s">
        <v>253</v>
      </c>
      <c r="C29" s="106" t="s">
        <v>277</v>
      </c>
      <c r="D29" s="106" t="s">
        <v>32</v>
      </c>
      <c r="E29" s="486">
        <v>40169</v>
      </c>
      <c r="F29" s="487">
        <v>40169</v>
      </c>
      <c r="G29" s="161">
        <v>42</v>
      </c>
      <c r="H29" s="162">
        <v>34</v>
      </c>
      <c r="I29" s="161">
        <v>24</v>
      </c>
      <c r="J29" s="210">
        <v>32</v>
      </c>
      <c r="K29" s="161">
        <v>25</v>
      </c>
      <c r="L29" s="162">
        <v>20</v>
      </c>
      <c r="M29" s="162">
        <v>95</v>
      </c>
      <c r="N29" s="162">
        <v>95</v>
      </c>
      <c r="O29" s="162">
        <v>98</v>
      </c>
      <c r="P29" s="161">
        <v>121</v>
      </c>
      <c r="Q29" s="141">
        <f t="shared" si="2"/>
        <v>584</v>
      </c>
      <c r="R29" s="145">
        <f t="shared" si="3"/>
        <v>40.275862068965516</v>
      </c>
      <c r="S29" s="146" t="str">
        <f t="shared" si="0"/>
        <v>B</v>
      </c>
      <c r="T29" s="130">
        <f t="shared" si="1"/>
        <v>9</v>
      </c>
      <c r="U29" s="161">
        <v>2</v>
      </c>
      <c r="V29" s="161">
        <v>0</v>
      </c>
      <c r="W29" s="153">
        <f t="shared" si="4"/>
        <v>2</v>
      </c>
    </row>
    <row r="30" spans="1:23" ht="23.45" customHeight="1" x14ac:dyDescent="0.25">
      <c r="A30" s="176">
        <v>19</v>
      </c>
      <c r="B30" s="106" t="s">
        <v>113</v>
      </c>
      <c r="C30" s="106" t="s">
        <v>278</v>
      </c>
      <c r="D30" s="106" t="s">
        <v>32</v>
      </c>
      <c r="E30" s="486">
        <v>39803</v>
      </c>
      <c r="F30" s="487">
        <v>39803</v>
      </c>
      <c r="G30" s="161">
        <v>49</v>
      </c>
      <c r="H30" s="162">
        <v>49</v>
      </c>
      <c r="I30" s="161">
        <v>37</v>
      </c>
      <c r="J30" s="210">
        <v>37</v>
      </c>
      <c r="K30" s="161">
        <v>24</v>
      </c>
      <c r="L30" s="162">
        <v>20</v>
      </c>
      <c r="M30" s="162">
        <v>90</v>
      </c>
      <c r="N30" s="162">
        <v>100</v>
      </c>
      <c r="O30" s="162">
        <v>100</v>
      </c>
      <c r="P30" s="161">
        <v>112</v>
      </c>
      <c r="Q30" s="142">
        <f t="shared" si="2"/>
        <v>617</v>
      </c>
      <c r="R30" s="131">
        <f t="shared" si="3"/>
        <v>42.551724137931032</v>
      </c>
      <c r="S30" s="132" t="str">
        <f t="shared" si="0"/>
        <v>B</v>
      </c>
      <c r="T30" s="127">
        <f t="shared" si="1"/>
        <v>3</v>
      </c>
      <c r="U30" s="161">
        <v>1</v>
      </c>
      <c r="V30" s="161">
        <v>0</v>
      </c>
      <c r="W30" s="153">
        <f t="shared" si="4"/>
        <v>1</v>
      </c>
    </row>
    <row r="31" spans="1:23" ht="23.45" customHeight="1" x14ac:dyDescent="0.25">
      <c r="A31" s="176">
        <v>20</v>
      </c>
      <c r="B31" s="106" t="s">
        <v>254</v>
      </c>
      <c r="C31" s="106" t="s">
        <v>279</v>
      </c>
      <c r="D31" s="106" t="s">
        <v>32</v>
      </c>
      <c r="E31" s="486">
        <v>39970</v>
      </c>
      <c r="F31" s="487">
        <v>39970</v>
      </c>
      <c r="G31" s="161">
        <v>30</v>
      </c>
      <c r="H31" s="162">
        <v>40</v>
      </c>
      <c r="I31" s="161">
        <v>30</v>
      </c>
      <c r="J31" s="210">
        <v>33</v>
      </c>
      <c r="K31" s="161">
        <v>24</v>
      </c>
      <c r="L31" s="162">
        <v>20</v>
      </c>
      <c r="M31" s="162">
        <v>75</v>
      </c>
      <c r="N31" s="162">
        <v>80</v>
      </c>
      <c r="O31" s="162">
        <v>90</v>
      </c>
      <c r="P31" s="161">
        <v>103</v>
      </c>
      <c r="Q31" s="141">
        <f t="shared" si="2"/>
        <v>525</v>
      </c>
      <c r="R31" s="145">
        <f t="shared" si="3"/>
        <v>36.206896551724135</v>
      </c>
      <c r="S31" s="146" t="str">
        <f t="shared" si="0"/>
        <v>C</v>
      </c>
      <c r="T31" s="130">
        <f t="shared" si="1"/>
        <v>21</v>
      </c>
      <c r="U31" s="161">
        <v>0</v>
      </c>
      <c r="V31" s="161">
        <v>0</v>
      </c>
      <c r="W31" s="153">
        <f t="shared" si="4"/>
        <v>0</v>
      </c>
    </row>
    <row r="32" spans="1:23" ht="23.45" customHeight="1" x14ac:dyDescent="0.25">
      <c r="A32" s="176">
        <v>21</v>
      </c>
      <c r="B32" s="106" t="s">
        <v>255</v>
      </c>
      <c r="C32" s="106" t="s">
        <v>280</v>
      </c>
      <c r="D32" s="106" t="s">
        <v>32</v>
      </c>
      <c r="E32" s="486">
        <v>39587</v>
      </c>
      <c r="F32" s="487">
        <v>39587</v>
      </c>
      <c r="G32" s="161">
        <v>57</v>
      </c>
      <c r="H32" s="162">
        <v>41</v>
      </c>
      <c r="I32" s="161">
        <v>25</v>
      </c>
      <c r="J32" s="210">
        <v>29</v>
      </c>
      <c r="K32" s="161">
        <v>24</v>
      </c>
      <c r="L32" s="162">
        <v>20</v>
      </c>
      <c r="M32" s="162">
        <v>85</v>
      </c>
      <c r="N32" s="162">
        <v>95</v>
      </c>
      <c r="O32" s="162">
        <v>93</v>
      </c>
      <c r="P32" s="161">
        <v>111</v>
      </c>
      <c r="Q32" s="142">
        <f t="shared" si="2"/>
        <v>580</v>
      </c>
      <c r="R32" s="131">
        <f t="shared" si="3"/>
        <v>40</v>
      </c>
      <c r="S32" s="132" t="str">
        <f t="shared" si="0"/>
        <v>B</v>
      </c>
      <c r="T32" s="127">
        <f t="shared" si="1"/>
        <v>11</v>
      </c>
      <c r="U32" s="161">
        <v>0</v>
      </c>
      <c r="V32" s="161">
        <v>0</v>
      </c>
      <c r="W32" s="153">
        <f t="shared" si="4"/>
        <v>0</v>
      </c>
    </row>
    <row r="33" spans="1:23" ht="23.45" customHeight="1" x14ac:dyDescent="0.25">
      <c r="A33" s="176">
        <v>22</v>
      </c>
      <c r="B33" s="106" t="s">
        <v>344</v>
      </c>
      <c r="C33" s="106" t="s">
        <v>345</v>
      </c>
      <c r="D33" s="106" t="s">
        <v>31</v>
      </c>
      <c r="E33" s="486" t="s">
        <v>346</v>
      </c>
      <c r="F33" s="487"/>
      <c r="G33" s="161">
        <v>55</v>
      </c>
      <c r="H33" s="162">
        <v>59</v>
      </c>
      <c r="I33" s="161">
        <v>35</v>
      </c>
      <c r="J33" s="210">
        <v>40</v>
      </c>
      <c r="K33" s="161">
        <v>25</v>
      </c>
      <c r="L33" s="162">
        <v>20</v>
      </c>
      <c r="M33" s="162">
        <v>95</v>
      </c>
      <c r="N33" s="162">
        <v>100</v>
      </c>
      <c r="O33" s="162">
        <v>100</v>
      </c>
      <c r="P33" s="161">
        <v>120</v>
      </c>
      <c r="Q33" s="142">
        <f>SUM(G33:P33)-W33</f>
        <v>649</v>
      </c>
      <c r="R33" s="131">
        <f t="shared" si="3"/>
        <v>44.758620689655174</v>
      </c>
      <c r="S33" s="132" t="str">
        <f t="shared" si="0"/>
        <v>B</v>
      </c>
      <c r="T33" s="127">
        <f t="shared" si="1"/>
        <v>1</v>
      </c>
      <c r="U33" s="161">
        <v>0</v>
      </c>
      <c r="V33" s="161">
        <v>0</v>
      </c>
      <c r="W33" s="153">
        <f t="shared" si="4"/>
        <v>0</v>
      </c>
    </row>
    <row r="34" spans="1:23" ht="23.45" customHeight="1" x14ac:dyDescent="0.25">
      <c r="A34" s="176">
        <v>23</v>
      </c>
      <c r="B34" s="106" t="s">
        <v>256</v>
      </c>
      <c r="C34" s="106" t="s">
        <v>281</v>
      </c>
      <c r="D34" s="106" t="s">
        <v>31</v>
      </c>
      <c r="E34" s="486">
        <v>39248</v>
      </c>
      <c r="F34" s="487">
        <v>39248</v>
      </c>
      <c r="G34" s="161">
        <v>30</v>
      </c>
      <c r="H34" s="162">
        <v>27</v>
      </c>
      <c r="I34" s="161">
        <v>20</v>
      </c>
      <c r="J34" s="210">
        <v>26</v>
      </c>
      <c r="K34" s="161">
        <v>21</v>
      </c>
      <c r="L34" s="162">
        <v>20</v>
      </c>
      <c r="M34" s="162">
        <v>65</v>
      </c>
      <c r="N34" s="162">
        <v>90</v>
      </c>
      <c r="O34" s="162">
        <v>85</v>
      </c>
      <c r="P34" s="161">
        <v>93</v>
      </c>
      <c r="Q34" s="142">
        <f>SUM(G34:P34)-W34</f>
        <v>474</v>
      </c>
      <c r="R34" s="131">
        <f>Q34/14.5</f>
        <v>32.689655172413794</v>
      </c>
      <c r="S34" s="132" t="str">
        <f t="shared" si="0"/>
        <v>D</v>
      </c>
      <c r="T34" s="127">
        <f>RANK(R34,$R$12:$R$38)</f>
        <v>25</v>
      </c>
      <c r="U34" s="161">
        <v>3</v>
      </c>
      <c r="V34" s="161">
        <v>0</v>
      </c>
      <c r="W34" s="153">
        <f t="shared" si="4"/>
        <v>3</v>
      </c>
    </row>
    <row r="35" spans="1:23" ht="23.45" customHeight="1" x14ac:dyDescent="0.25">
      <c r="A35" s="176">
        <v>24</v>
      </c>
      <c r="B35" s="106" t="s">
        <v>257</v>
      </c>
      <c r="C35" s="106" t="s">
        <v>282</v>
      </c>
      <c r="D35" s="106" t="s">
        <v>32</v>
      </c>
      <c r="E35" s="486">
        <v>39278</v>
      </c>
      <c r="F35" s="487">
        <v>39278</v>
      </c>
      <c r="G35" s="161">
        <v>50</v>
      </c>
      <c r="H35" s="162">
        <v>39</v>
      </c>
      <c r="I35" s="161">
        <v>29</v>
      </c>
      <c r="J35" s="210">
        <v>43</v>
      </c>
      <c r="K35" s="161">
        <v>23</v>
      </c>
      <c r="L35" s="162">
        <v>20</v>
      </c>
      <c r="M35" s="162">
        <v>93</v>
      </c>
      <c r="N35" s="162">
        <v>95</v>
      </c>
      <c r="O35" s="162">
        <v>95</v>
      </c>
      <c r="P35" s="161">
        <v>123</v>
      </c>
      <c r="Q35" s="141">
        <f t="shared" si="2"/>
        <v>610</v>
      </c>
      <c r="R35" s="145">
        <f t="shared" si="3"/>
        <v>42.068965517241381</v>
      </c>
      <c r="S35" s="146" t="str">
        <f t="shared" si="0"/>
        <v>B</v>
      </c>
      <c r="T35" s="130">
        <f t="shared" si="1"/>
        <v>5</v>
      </c>
      <c r="U35" s="161">
        <v>0</v>
      </c>
      <c r="V35" s="161">
        <v>0</v>
      </c>
      <c r="W35" s="153">
        <f t="shared" si="4"/>
        <v>0</v>
      </c>
    </row>
    <row r="36" spans="1:23" ht="23.45" customHeight="1" x14ac:dyDescent="0.25">
      <c r="A36" s="176">
        <v>25</v>
      </c>
      <c r="B36" s="106" t="s">
        <v>258</v>
      </c>
      <c r="C36" s="106" t="s">
        <v>134</v>
      </c>
      <c r="D36" s="106" t="s">
        <v>32</v>
      </c>
      <c r="E36" s="486">
        <v>39908</v>
      </c>
      <c r="F36" s="487">
        <v>39908</v>
      </c>
      <c r="G36" s="161">
        <v>42</v>
      </c>
      <c r="H36" s="162">
        <v>34</v>
      </c>
      <c r="I36" s="161">
        <v>24</v>
      </c>
      <c r="J36" s="210">
        <v>33</v>
      </c>
      <c r="K36" s="161">
        <v>24</v>
      </c>
      <c r="L36" s="162">
        <v>20</v>
      </c>
      <c r="M36" s="162">
        <v>76</v>
      </c>
      <c r="N36" s="162">
        <v>90</v>
      </c>
      <c r="O36" s="162">
        <v>85</v>
      </c>
      <c r="P36" s="161">
        <v>121</v>
      </c>
      <c r="Q36" s="142">
        <f t="shared" si="2"/>
        <v>547</v>
      </c>
      <c r="R36" s="131">
        <f t="shared" si="3"/>
        <v>37.724137931034484</v>
      </c>
      <c r="S36" s="132" t="str">
        <f t="shared" si="0"/>
        <v>C</v>
      </c>
      <c r="T36" s="127">
        <f t="shared" si="1"/>
        <v>15</v>
      </c>
      <c r="U36" s="161">
        <v>2</v>
      </c>
      <c r="V36" s="161">
        <v>0</v>
      </c>
      <c r="W36" s="153">
        <f t="shared" si="4"/>
        <v>2</v>
      </c>
    </row>
    <row r="37" spans="1:23" ht="23.45" customHeight="1" x14ac:dyDescent="0.25">
      <c r="A37" s="176">
        <v>26</v>
      </c>
      <c r="B37" s="106" t="s">
        <v>259</v>
      </c>
      <c r="C37" s="106" t="s">
        <v>283</v>
      </c>
      <c r="D37" s="106" t="s">
        <v>31</v>
      </c>
      <c r="E37" s="486">
        <v>39458</v>
      </c>
      <c r="F37" s="487">
        <v>39458</v>
      </c>
      <c r="G37" s="161">
        <v>30</v>
      </c>
      <c r="H37" s="162">
        <v>27</v>
      </c>
      <c r="I37" s="161">
        <v>20</v>
      </c>
      <c r="J37" s="210">
        <v>30</v>
      </c>
      <c r="K37" s="161">
        <v>21</v>
      </c>
      <c r="L37" s="162">
        <v>20</v>
      </c>
      <c r="M37" s="162">
        <v>70</v>
      </c>
      <c r="N37" s="162">
        <v>70</v>
      </c>
      <c r="O37" s="162">
        <v>73</v>
      </c>
      <c r="P37" s="161">
        <v>108</v>
      </c>
      <c r="Q37" s="141">
        <f t="shared" si="2"/>
        <v>465</v>
      </c>
      <c r="R37" s="145">
        <f t="shared" si="3"/>
        <v>32.068965517241381</v>
      </c>
      <c r="S37" s="146" t="str">
        <f t="shared" si="0"/>
        <v>D</v>
      </c>
      <c r="T37" s="130">
        <f t="shared" si="1"/>
        <v>26</v>
      </c>
      <c r="U37" s="161">
        <v>3</v>
      </c>
      <c r="V37" s="161">
        <v>1</v>
      </c>
      <c r="W37" s="153">
        <f t="shared" si="4"/>
        <v>4</v>
      </c>
    </row>
    <row r="38" spans="1:23" ht="23.45" customHeight="1" x14ac:dyDescent="0.25">
      <c r="A38" s="176">
        <v>27</v>
      </c>
      <c r="B38" s="106" t="s">
        <v>260</v>
      </c>
      <c r="C38" s="106" t="s">
        <v>284</v>
      </c>
      <c r="D38" s="106" t="s">
        <v>32</v>
      </c>
      <c r="E38" s="486">
        <v>40037</v>
      </c>
      <c r="F38" s="487">
        <v>40037</v>
      </c>
      <c r="G38" s="161">
        <v>49</v>
      </c>
      <c r="H38" s="162">
        <v>24</v>
      </c>
      <c r="I38" s="161">
        <v>25</v>
      </c>
      <c r="J38" s="210">
        <v>33</v>
      </c>
      <c r="K38" s="161">
        <v>23</v>
      </c>
      <c r="L38" s="162">
        <v>20</v>
      </c>
      <c r="M38" s="162">
        <v>84</v>
      </c>
      <c r="N38" s="162">
        <v>100</v>
      </c>
      <c r="O38" s="162">
        <v>93</v>
      </c>
      <c r="P38" s="161">
        <v>111</v>
      </c>
      <c r="Q38" s="142">
        <f t="shared" si="2"/>
        <v>562</v>
      </c>
      <c r="R38" s="131">
        <f t="shared" si="3"/>
        <v>38.758620689655174</v>
      </c>
      <c r="S38" s="132" t="str">
        <f t="shared" si="0"/>
        <v>C</v>
      </c>
      <c r="T38" s="127">
        <f t="shared" si="1"/>
        <v>14</v>
      </c>
      <c r="U38" s="161">
        <v>0</v>
      </c>
      <c r="V38" s="161">
        <v>0</v>
      </c>
      <c r="W38" s="153">
        <f t="shared" si="4"/>
        <v>0</v>
      </c>
    </row>
    <row r="39" spans="1:23" ht="30" customHeight="1" x14ac:dyDescent="0.25">
      <c r="A39" s="374" t="str">
        <f>"បញ្ឈប់បញ្ជីត្រឹមឈ្មោះ អ៊ុក ទាវ  "&amp;"      ចំនួនសរុប  "&amp;COUNT(A12:A38)&amp;"  នាក់"&amp;"      ក្នុងនោះស្រី  "&amp;COUNTIF(D12:D38,"ស")&amp;"  នាក់ ។"</f>
        <v>បញ្ឈប់បញ្ជីត្រឹមឈ្មោះ អ៊ុក ទាវ        ចំនួនសរុប  27  នាក់      ក្នុងនោះស្រី  19  នាក់ ។</v>
      </c>
      <c r="B39" s="374"/>
      <c r="C39" s="374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9"/>
      <c r="S39" s="9"/>
    </row>
    <row r="40" spans="1:23" ht="25.5" x14ac:dyDescent="0.25">
      <c r="B40" s="53" t="s">
        <v>34</v>
      </c>
      <c r="C40" s="53"/>
    </row>
    <row r="41" spans="1:23" ht="21" x14ac:dyDescent="0.6">
      <c r="B41" s="377" t="s">
        <v>51</v>
      </c>
      <c r="C41" s="378"/>
      <c r="D41" s="48" t="s">
        <v>8</v>
      </c>
      <c r="E41" s="377" t="s">
        <v>39</v>
      </c>
      <c r="F41" s="378"/>
    </row>
    <row r="42" spans="1:23" ht="23.25" x14ac:dyDescent="0.65">
      <c r="B42" s="382" t="s">
        <v>79</v>
      </c>
      <c r="C42" s="383"/>
      <c r="D42" s="42" t="s">
        <v>26</v>
      </c>
      <c r="E42" s="382" t="s">
        <v>52</v>
      </c>
      <c r="F42" s="383"/>
      <c r="Q42" s="23"/>
    </row>
    <row r="43" spans="1:23" ht="21.95" customHeight="1" x14ac:dyDescent="0.25">
      <c r="B43" s="367" t="s">
        <v>80</v>
      </c>
      <c r="C43" s="368"/>
      <c r="D43" s="43" t="s">
        <v>27</v>
      </c>
      <c r="E43" s="367" t="s">
        <v>35</v>
      </c>
      <c r="F43" s="368"/>
    </row>
    <row r="44" spans="1:23" ht="21.95" customHeight="1" x14ac:dyDescent="0.25">
      <c r="B44" s="371" t="s">
        <v>81</v>
      </c>
      <c r="C44" s="372"/>
      <c r="D44" s="44" t="s">
        <v>28</v>
      </c>
      <c r="E44" s="371" t="s">
        <v>36</v>
      </c>
      <c r="F44" s="372"/>
      <c r="I44" s="38"/>
      <c r="J44" s="39"/>
      <c r="K44" s="38"/>
      <c r="L44" s="39"/>
      <c r="M44" s="38"/>
      <c r="N44" s="379"/>
      <c r="O44" s="379"/>
      <c r="P44" s="379"/>
    </row>
    <row r="45" spans="1:23" ht="24.95" customHeight="1" x14ac:dyDescent="0.25">
      <c r="A45" s="41"/>
      <c r="B45" s="331" t="s">
        <v>82</v>
      </c>
      <c r="C45" s="332"/>
      <c r="D45" s="45" t="s">
        <v>29</v>
      </c>
      <c r="E45" s="331" t="s">
        <v>42</v>
      </c>
      <c r="F45" s="332"/>
      <c r="I45" s="25"/>
      <c r="J45" s="26"/>
      <c r="K45" s="26"/>
      <c r="L45" s="26"/>
      <c r="M45" s="26"/>
      <c r="N45" s="8"/>
      <c r="O45" s="8"/>
      <c r="P45" s="8"/>
    </row>
    <row r="46" spans="1:23" ht="24.95" customHeight="1" x14ac:dyDescent="0.8">
      <c r="A46" s="31"/>
      <c r="B46" s="335" t="s">
        <v>83</v>
      </c>
      <c r="C46" s="336"/>
      <c r="D46" s="46" t="s">
        <v>41</v>
      </c>
      <c r="E46" s="335" t="s">
        <v>37</v>
      </c>
      <c r="F46" s="336"/>
      <c r="I46" s="26"/>
      <c r="J46" s="26"/>
      <c r="K46" s="26"/>
      <c r="L46" s="13"/>
      <c r="M46" s="13"/>
      <c r="N46" s="13"/>
      <c r="O46" s="13"/>
      <c r="P46" s="13"/>
    </row>
    <row r="47" spans="1:23" ht="24.95" customHeight="1" x14ac:dyDescent="0.8">
      <c r="A47" s="31"/>
      <c r="B47" s="495" t="s">
        <v>84</v>
      </c>
      <c r="C47" s="496"/>
      <c r="D47" s="47" t="s">
        <v>30</v>
      </c>
      <c r="E47" s="339" t="s">
        <v>38</v>
      </c>
      <c r="F47" s="339"/>
      <c r="G47" s="71"/>
      <c r="H47" s="71"/>
      <c r="I47" s="26"/>
      <c r="J47" s="26"/>
      <c r="K47" s="26"/>
      <c r="L47" s="13"/>
      <c r="M47" s="13"/>
      <c r="N47" s="13"/>
      <c r="O47" s="13"/>
      <c r="P47" s="13"/>
    </row>
    <row r="48" spans="1:23" ht="68.25" customHeight="1" x14ac:dyDescent="0.8">
      <c r="A48" s="31"/>
      <c r="B48" s="489" t="s">
        <v>92</v>
      </c>
      <c r="C48" s="489"/>
      <c r="D48" s="489"/>
      <c r="E48" s="489"/>
      <c r="F48" s="489"/>
      <c r="G48" s="490"/>
      <c r="H48" s="490"/>
      <c r="I48" s="490"/>
      <c r="J48" s="26"/>
      <c r="K48" s="26"/>
      <c r="L48" s="13"/>
      <c r="M48" s="13"/>
      <c r="N48" s="13"/>
      <c r="O48" s="13"/>
      <c r="P48" s="13"/>
    </row>
    <row r="49" spans="1:23" ht="23.25" x14ac:dyDescent="0.65">
      <c r="A49" s="252" t="s">
        <v>33</v>
      </c>
      <c r="B49" s="252"/>
      <c r="C49" s="252"/>
      <c r="D49" s="252"/>
      <c r="E49" s="347"/>
      <c r="F49" s="69" t="s">
        <v>3</v>
      </c>
      <c r="G49" s="70" t="s">
        <v>4</v>
      </c>
      <c r="I49" s="26"/>
      <c r="J49" s="26"/>
      <c r="K49" s="26"/>
      <c r="L49" s="13"/>
      <c r="M49" s="13"/>
      <c r="N49" s="9"/>
    </row>
    <row r="50" spans="1:23" ht="25.5" customHeight="1" x14ac:dyDescent="0.65">
      <c r="B50" s="418" t="s">
        <v>55</v>
      </c>
      <c r="C50" s="419"/>
      <c r="D50" s="422" t="s">
        <v>67</v>
      </c>
      <c r="E50" s="423"/>
      <c r="F50" s="67">
        <f>D53+F53</f>
        <v>27</v>
      </c>
      <c r="G50" s="68">
        <f>E53+G53</f>
        <v>19</v>
      </c>
      <c r="H50" s="358" t="s">
        <v>8</v>
      </c>
      <c r="I50" s="359"/>
      <c r="J50" s="359"/>
      <c r="K50" s="359"/>
      <c r="L50" s="359"/>
      <c r="M50" s="359"/>
      <c r="N50" s="359"/>
      <c r="O50" s="359"/>
      <c r="P50" s="359"/>
      <c r="Q50" s="359"/>
      <c r="R50" s="359"/>
      <c r="S50" s="360"/>
      <c r="T50" s="80" t="s">
        <v>85</v>
      </c>
      <c r="U50" s="80"/>
    </row>
    <row r="51" spans="1:23" ht="47.25" customHeight="1" x14ac:dyDescent="0.25">
      <c r="A51" s="8"/>
      <c r="B51" s="420"/>
      <c r="C51" s="421"/>
      <c r="D51" s="361" t="s">
        <v>77</v>
      </c>
      <c r="E51" s="362"/>
      <c r="F51" s="493" t="s">
        <v>365</v>
      </c>
      <c r="G51" s="494"/>
      <c r="H51" s="341" t="s">
        <v>26</v>
      </c>
      <c r="I51" s="342"/>
      <c r="J51" s="341" t="s">
        <v>27</v>
      </c>
      <c r="K51" s="342"/>
      <c r="L51" s="341" t="s">
        <v>28</v>
      </c>
      <c r="M51" s="342"/>
      <c r="N51" s="341" t="s">
        <v>29</v>
      </c>
      <c r="O51" s="342"/>
      <c r="P51" s="343" t="s">
        <v>41</v>
      </c>
      <c r="Q51" s="344"/>
      <c r="R51" s="348" t="s">
        <v>88</v>
      </c>
      <c r="S51" s="349"/>
      <c r="T51" s="80"/>
      <c r="U51" s="80"/>
    </row>
    <row r="52" spans="1:23" ht="23.25" x14ac:dyDescent="0.6">
      <c r="A52" s="8"/>
      <c r="B52" s="4" t="s">
        <v>3</v>
      </c>
      <c r="C52" s="33" t="s">
        <v>4</v>
      </c>
      <c r="D52" s="4" t="s">
        <v>3</v>
      </c>
      <c r="E52" s="33" t="s">
        <v>4</v>
      </c>
      <c r="F52" s="4" t="s">
        <v>3</v>
      </c>
      <c r="G52" s="33" t="s">
        <v>4</v>
      </c>
      <c r="H52" s="4" t="s">
        <v>3</v>
      </c>
      <c r="I52" s="52" t="s">
        <v>4</v>
      </c>
      <c r="J52" s="40" t="s">
        <v>3</v>
      </c>
      <c r="K52" s="33" t="s">
        <v>4</v>
      </c>
      <c r="L52" s="4" t="s">
        <v>3</v>
      </c>
      <c r="M52" s="33" t="s">
        <v>4</v>
      </c>
      <c r="N52" s="4" t="s">
        <v>3</v>
      </c>
      <c r="O52" s="33" t="s">
        <v>4</v>
      </c>
      <c r="P52" s="4" t="s">
        <v>3</v>
      </c>
      <c r="Q52" s="33" t="s">
        <v>4</v>
      </c>
      <c r="R52" s="63" t="s">
        <v>3</v>
      </c>
      <c r="S52" s="64" t="s">
        <v>4</v>
      </c>
      <c r="T52" s="33"/>
      <c r="U52" s="4"/>
    </row>
    <row r="53" spans="1:23" ht="23.25" customHeight="1" x14ac:dyDescent="0.25">
      <c r="A53" s="8"/>
      <c r="B53" s="55">
        <f>COUNT(A12:A38)</f>
        <v>27</v>
      </c>
      <c r="C53" s="56">
        <f>COUNTIF(D12:D38,"ស")</f>
        <v>19</v>
      </c>
      <c r="D53" s="55">
        <f>SUM(H53,J53,L53,N53,P53)</f>
        <v>27</v>
      </c>
      <c r="E53" s="56">
        <f>SUM(I53,K53,M53,O53,Q53)</f>
        <v>19</v>
      </c>
      <c r="F53" s="32">
        <f>COUNTIF(S12:S38,"F")</f>
        <v>0</v>
      </c>
      <c r="G53" s="34">
        <f>COUNTIFS(S12:S38,"F",D12:D38,"ស")</f>
        <v>0</v>
      </c>
      <c r="H53" s="35">
        <f>COUNTIF(S12:S38,"A")</f>
        <v>0</v>
      </c>
      <c r="I53" s="34">
        <f>COUNTIFS(S12:S38,"A",D12:D38,"ស")</f>
        <v>0</v>
      </c>
      <c r="J53" s="35">
        <f>COUNTIF(S12:S38,"B")</f>
        <v>11</v>
      </c>
      <c r="K53" s="34">
        <f>COUNTIFS(S12:S38,"B",D12:D38,"ស")</f>
        <v>9</v>
      </c>
      <c r="L53" s="35">
        <f>COUNTIF(S12:S38,"C")</f>
        <v>10</v>
      </c>
      <c r="M53" s="34">
        <f>COUNTIFS(S12:S38,"C",D12:D38,"ស")</f>
        <v>8</v>
      </c>
      <c r="N53" s="35">
        <f>COUNTIF(S12:S38,"D")</f>
        <v>6</v>
      </c>
      <c r="O53" s="34">
        <f>COUNTIFS(S12:S38,"D",D12:D38,"ស")</f>
        <v>2</v>
      </c>
      <c r="P53" s="35">
        <f>COUNTIF(S12:S38,"E")</f>
        <v>0</v>
      </c>
      <c r="Q53" s="34">
        <f>COUNTIFS(S12:S38,"E",D12:D38,"ស")</f>
        <v>0</v>
      </c>
      <c r="R53" s="65">
        <f>COUNTIF(S12:S38,"NA")</f>
        <v>0</v>
      </c>
      <c r="S53" s="66">
        <f>COUNTIFS(S12:S38,"NA",D12:D38,"ស")</f>
        <v>0</v>
      </c>
      <c r="T53" s="34"/>
      <c r="U53" s="55"/>
    </row>
    <row r="54" spans="1:23" ht="26.25" customHeight="1" x14ac:dyDescent="0.25">
      <c r="A54" s="8"/>
    </row>
    <row r="55" spans="1:23" ht="23.25" x14ac:dyDescent="0.35">
      <c r="A55" s="8"/>
      <c r="B55" s="12"/>
      <c r="D55" s="54"/>
      <c r="O55" s="379" t="str">
        <f>អគ្គិសនី១!O48</f>
        <v>ថ្ងៃអង្គារ  ១៣កើត ខែចេត្រ ឆ្នាំម្សាញ់ សប្តស័ក ព.ស ២៥៦៩</v>
      </c>
      <c r="P55" s="379"/>
      <c r="Q55" s="379"/>
      <c r="R55" s="379"/>
      <c r="S55" s="379"/>
      <c r="T55" s="379"/>
      <c r="U55" s="379"/>
      <c r="V55" s="379"/>
      <c r="W55" s="379"/>
    </row>
    <row r="56" spans="1:23" ht="22.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9"/>
      <c r="O56" s="458" t="str">
        <f>អគ្គិសនី១!P49</f>
        <v>ធ្វើនៅដុនបូស្កូប៉ោយប៉ែត ថ្ងៃទី៣១ខែ មីនាឆ្នាំ ២០២៦</v>
      </c>
      <c r="P56" s="458"/>
      <c r="Q56" s="458"/>
      <c r="R56" s="458"/>
      <c r="S56" s="458"/>
      <c r="T56" s="458"/>
      <c r="U56" s="458"/>
      <c r="V56" s="458"/>
      <c r="W56" s="458"/>
    </row>
    <row r="57" spans="1:23" ht="24.95" customHeight="1" x14ac:dyDescent="0.65">
      <c r="A57" s="340" t="s">
        <v>22</v>
      </c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11"/>
      <c r="O57" s="13"/>
      <c r="P57" s="321" t="s">
        <v>16</v>
      </c>
      <c r="Q57" s="321"/>
      <c r="R57" s="321"/>
      <c r="S57" s="321"/>
      <c r="T57" s="321"/>
      <c r="U57" s="321"/>
      <c r="V57" s="321"/>
      <c r="W57" s="321"/>
    </row>
    <row r="58" spans="1:23" ht="24.75" customHeight="1" x14ac:dyDescent="0.25">
      <c r="A58" s="340" t="str">
        <f>ស្ថិតិលទ្ធផលសិក្សាតាមនិទ្ទេស!A73</f>
        <v>នាយកសាលា</v>
      </c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13"/>
      <c r="O58" s="13"/>
      <c r="P58" s="13"/>
      <c r="Q58" s="18"/>
      <c r="R58" s="19"/>
      <c r="S58" s="16"/>
    </row>
    <row r="59" spans="1:23" ht="21" customHeight="1" x14ac:dyDescent="0.25">
      <c r="N59" s="16"/>
      <c r="O59" s="16"/>
      <c r="P59" s="16"/>
      <c r="Q59" s="21"/>
      <c r="R59" s="16"/>
      <c r="S59" s="16"/>
    </row>
    <row r="60" spans="1:23" ht="21" x14ac:dyDescent="0.25">
      <c r="A60" s="14"/>
      <c r="B60" s="22"/>
      <c r="C60" s="22"/>
      <c r="D60" s="22"/>
      <c r="E60" s="22"/>
      <c r="F60" s="22"/>
      <c r="G60" s="22"/>
      <c r="I60" s="22"/>
      <c r="J60" s="17"/>
      <c r="K60" s="15"/>
      <c r="L60" s="15"/>
      <c r="M60" s="20"/>
      <c r="N60" s="16"/>
      <c r="O60" s="16"/>
      <c r="P60" s="16"/>
      <c r="Q60" s="21"/>
      <c r="R60" s="16"/>
      <c r="S60" s="16"/>
    </row>
  </sheetData>
  <mergeCells count="91">
    <mergeCell ref="A7:W7"/>
    <mergeCell ref="A8:W8"/>
    <mergeCell ref="A9:A11"/>
    <mergeCell ref="B9:B11"/>
    <mergeCell ref="C9:C11"/>
    <mergeCell ref="E9:F11"/>
    <mergeCell ref="U9:W10"/>
    <mergeCell ref="G10:G11"/>
    <mergeCell ref="H10:H11"/>
    <mergeCell ref="O10:O11"/>
    <mergeCell ref="P10:P11"/>
    <mergeCell ref="G9:P9"/>
    <mergeCell ref="I10:I11"/>
    <mergeCell ref="N10:N11"/>
    <mergeCell ref="Q9:Q11"/>
    <mergeCell ref="R9:R11"/>
    <mergeCell ref="A6:K6"/>
    <mergeCell ref="A1:W1"/>
    <mergeCell ref="A2:W2"/>
    <mergeCell ref="A3:W3"/>
    <mergeCell ref="U4:W4"/>
    <mergeCell ref="A4:K4"/>
    <mergeCell ref="A5:K5"/>
    <mergeCell ref="S9:S11"/>
    <mergeCell ref="T9:T11"/>
    <mergeCell ref="A39:Q39"/>
    <mergeCell ref="E13:F13"/>
    <mergeCell ref="D9:D11"/>
    <mergeCell ref="E12:F12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N44:P44"/>
    <mergeCell ref="J10:J11"/>
    <mergeCell ref="K10:K11"/>
    <mergeCell ref="L10:L11"/>
    <mergeCell ref="M10:M11"/>
    <mergeCell ref="B43:C43"/>
    <mergeCell ref="E43:F43"/>
    <mergeCell ref="B44:C44"/>
    <mergeCell ref="E44:F44"/>
    <mergeCell ref="B41:C41"/>
    <mergeCell ref="E41:F41"/>
    <mergeCell ref="B42:C42"/>
    <mergeCell ref="E42:F42"/>
    <mergeCell ref="B45:C45"/>
    <mergeCell ref="E45:F45"/>
    <mergeCell ref="B47:C47"/>
    <mergeCell ref="E47:F47"/>
    <mergeCell ref="B46:C46"/>
    <mergeCell ref="E46:F46"/>
    <mergeCell ref="B48:I48"/>
    <mergeCell ref="A49:E49"/>
    <mergeCell ref="B50:C51"/>
    <mergeCell ref="D50:E50"/>
    <mergeCell ref="H50:S50"/>
    <mergeCell ref="D51:E51"/>
    <mergeCell ref="F51:G51"/>
    <mergeCell ref="H51:I51"/>
    <mergeCell ref="P51:Q51"/>
    <mergeCell ref="R51:S51"/>
    <mergeCell ref="A57:M57"/>
    <mergeCell ref="A58:M58"/>
    <mergeCell ref="J51:K51"/>
    <mergeCell ref="L51:M51"/>
    <mergeCell ref="N51:O51"/>
    <mergeCell ref="O55:W55"/>
    <mergeCell ref="O56:W56"/>
    <mergeCell ref="P57:W57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8:F38"/>
    <mergeCell ref="E34:F34"/>
    <mergeCell ref="E35:F35"/>
    <mergeCell ref="E36:F36"/>
    <mergeCell ref="E37:F37"/>
    <mergeCell ref="E33:F33"/>
  </mergeCells>
  <conditionalFormatting sqref="B36:B37">
    <cfRule type="duplicateValues" dxfId="3" priority="4"/>
  </conditionalFormatting>
  <conditionalFormatting sqref="B38">
    <cfRule type="duplicateValues" dxfId="2" priority="3"/>
  </conditionalFormatting>
  <conditionalFormatting sqref="C36:C37">
    <cfRule type="duplicateValues" dxfId="1" priority="2"/>
  </conditionalFormatting>
  <conditionalFormatting sqref="C38">
    <cfRule type="duplicateValues" dxfId="0" priority="1"/>
  </conditionalFormatting>
  <pageMargins left="0.25" right="0.12" top="0.12" bottom="0.12" header="0.12" footer="0.12"/>
  <pageSetup paperSize="9" orientation="landscape" r:id="rId1"/>
  <ignoredErrors>
    <ignoredError sqref="Q35:Q38 Q12:Q32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9"/>
  <sheetViews>
    <sheetView view="pageBreakPreview" topLeftCell="A45" zoomScale="110" zoomScaleNormal="100" zoomScaleSheetLayoutView="110" workbookViewId="0">
      <selection activeCell="K48" sqref="K48"/>
    </sheetView>
  </sheetViews>
  <sheetFormatPr defaultRowHeight="15" x14ac:dyDescent="0.25"/>
  <cols>
    <col min="1" max="1" width="5.42578125" customWidth="1"/>
    <col min="2" max="2" width="7" style="90" customWidth="1"/>
    <col min="3" max="3" width="11.7109375" customWidth="1"/>
    <col min="4" max="4" width="4.85546875" customWidth="1"/>
    <col min="5" max="5" width="11.85546875" customWidth="1"/>
    <col min="6" max="6" width="5.140625" customWidth="1"/>
    <col min="7" max="7" width="4.85546875" customWidth="1"/>
    <col min="8" max="9" width="4.7109375" customWidth="1"/>
    <col min="10" max="16" width="5.28515625" customWidth="1"/>
    <col min="17" max="18" width="6.28515625" customWidth="1"/>
    <col min="19" max="19" width="5.85546875" customWidth="1"/>
    <col min="20" max="20" width="6.28515625" customWidth="1"/>
    <col min="21" max="23" width="6.5703125" customWidth="1"/>
  </cols>
  <sheetData>
    <row r="1" spans="1:23" ht="24" customHeight="1" x14ac:dyDescent="0.25">
      <c r="A1" s="393" t="s">
        <v>13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</row>
    <row r="2" spans="1:23" ht="20.45" customHeight="1" x14ac:dyDescent="0.25">
      <c r="A2" s="394" t="s">
        <v>19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</row>
    <row r="3" spans="1:23" ht="15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</row>
    <row r="4" spans="1:23" ht="23.25" x14ac:dyDescent="0.65">
      <c r="A4" s="244" t="s">
        <v>15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7"/>
      <c r="M4" s="7"/>
      <c r="N4" s="7"/>
      <c r="O4" s="7"/>
      <c r="P4" s="7"/>
      <c r="Q4" s="6"/>
      <c r="R4" s="5"/>
      <c r="S4" s="5"/>
      <c r="U4" s="395" t="s">
        <v>64</v>
      </c>
      <c r="V4" s="395"/>
      <c r="W4" s="395"/>
    </row>
    <row r="5" spans="1:23" ht="23.25" x14ac:dyDescent="0.65">
      <c r="A5" s="244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7"/>
      <c r="M5" s="7"/>
      <c r="N5" s="7"/>
      <c r="O5" s="7"/>
      <c r="P5" s="7"/>
      <c r="Q5" s="6"/>
      <c r="R5" s="5"/>
      <c r="S5" s="5"/>
    </row>
    <row r="6" spans="1:23" ht="23.25" x14ac:dyDescent="0.65">
      <c r="A6" s="244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7"/>
      <c r="M6" s="7"/>
      <c r="N6" s="7"/>
      <c r="O6" s="7"/>
      <c r="P6" s="7"/>
      <c r="Q6" s="6"/>
      <c r="R6" s="5"/>
      <c r="S6" s="5"/>
    </row>
    <row r="7" spans="1:23" ht="23.25" x14ac:dyDescent="0.25">
      <c r="A7" s="396" t="s">
        <v>530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</row>
    <row r="8" spans="1:23" ht="21" x14ac:dyDescent="0.25">
      <c r="A8" s="397" t="str">
        <f>អគ្គិសនី២!A8</f>
        <v>ឆ្នាំសិក្សា ២០២៥- ២០២៦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</row>
    <row r="9" spans="1:23" ht="24.95" customHeight="1" x14ac:dyDescent="0.25">
      <c r="A9" s="398" t="s">
        <v>0</v>
      </c>
      <c r="B9" s="398" t="s">
        <v>25</v>
      </c>
      <c r="C9" s="398" t="s">
        <v>20</v>
      </c>
      <c r="D9" s="401" t="s">
        <v>21</v>
      </c>
      <c r="E9" s="472" t="s">
        <v>50</v>
      </c>
      <c r="F9" s="473"/>
      <c r="G9" s="402" t="s">
        <v>23</v>
      </c>
      <c r="H9" s="402"/>
      <c r="I9" s="402"/>
      <c r="J9" s="402"/>
      <c r="K9" s="402"/>
      <c r="L9" s="402"/>
      <c r="M9" s="402"/>
      <c r="N9" s="402"/>
      <c r="O9" s="402"/>
      <c r="P9" s="402"/>
      <c r="Q9" s="429" t="s">
        <v>3</v>
      </c>
      <c r="R9" s="443" t="s">
        <v>24</v>
      </c>
      <c r="S9" s="401" t="s">
        <v>8</v>
      </c>
      <c r="T9" s="434" t="s">
        <v>45</v>
      </c>
      <c r="U9" s="437" t="s">
        <v>47</v>
      </c>
      <c r="V9" s="438"/>
      <c r="W9" s="439"/>
    </row>
    <row r="10" spans="1:23" ht="21" customHeight="1" x14ac:dyDescent="0.25">
      <c r="A10" s="398"/>
      <c r="B10" s="398"/>
      <c r="C10" s="398"/>
      <c r="D10" s="427"/>
      <c r="E10" s="474"/>
      <c r="F10" s="475"/>
      <c r="G10" s="387" t="s">
        <v>53</v>
      </c>
      <c r="H10" s="387" t="s">
        <v>54</v>
      </c>
      <c r="I10" s="387" t="s">
        <v>97</v>
      </c>
      <c r="J10" s="387" t="s">
        <v>98</v>
      </c>
      <c r="K10" s="513" t="s">
        <v>99</v>
      </c>
      <c r="L10" s="387" t="s">
        <v>100</v>
      </c>
      <c r="M10" s="387" t="s">
        <v>101</v>
      </c>
      <c r="N10" s="387" t="s">
        <v>102</v>
      </c>
      <c r="O10" s="387" t="s">
        <v>104</v>
      </c>
      <c r="P10" s="387" t="s">
        <v>103</v>
      </c>
      <c r="Q10" s="430"/>
      <c r="R10" s="444"/>
      <c r="S10" s="427"/>
      <c r="T10" s="435"/>
      <c r="U10" s="440"/>
      <c r="V10" s="441"/>
      <c r="W10" s="442"/>
    </row>
    <row r="11" spans="1:23" ht="33" customHeight="1" x14ac:dyDescent="0.25">
      <c r="A11" s="398"/>
      <c r="B11" s="398"/>
      <c r="C11" s="398"/>
      <c r="D11" s="427"/>
      <c r="E11" s="474"/>
      <c r="F11" s="475"/>
      <c r="G11" s="468"/>
      <c r="H11" s="468"/>
      <c r="I11" s="468"/>
      <c r="J11" s="468"/>
      <c r="K11" s="514"/>
      <c r="L11" s="468"/>
      <c r="M11" s="468"/>
      <c r="N11" s="468"/>
      <c r="O11" s="468"/>
      <c r="P11" s="468"/>
      <c r="Q11" s="431"/>
      <c r="R11" s="445"/>
      <c r="S11" s="428"/>
      <c r="T11" s="436"/>
      <c r="U11" s="85" t="s">
        <v>48</v>
      </c>
      <c r="V11" s="85" t="s">
        <v>49</v>
      </c>
      <c r="W11" s="85" t="s">
        <v>3</v>
      </c>
    </row>
    <row r="12" spans="1:23" s="91" customFormat="1" ht="25.5" customHeight="1" x14ac:dyDescent="0.25">
      <c r="A12" s="177">
        <v>1</v>
      </c>
      <c r="B12" s="165" t="s">
        <v>139</v>
      </c>
      <c r="C12" s="165" t="s">
        <v>126</v>
      </c>
      <c r="D12" s="165" t="s">
        <v>31</v>
      </c>
      <c r="E12" s="497" t="s">
        <v>140</v>
      </c>
      <c r="F12" s="498"/>
      <c r="G12" s="161">
        <v>39</v>
      </c>
      <c r="H12" s="162">
        <v>48</v>
      </c>
      <c r="I12" s="161">
        <v>28</v>
      </c>
      <c r="J12" s="210">
        <v>12</v>
      </c>
      <c r="K12" s="166">
        <v>0</v>
      </c>
      <c r="L12" s="162">
        <v>20</v>
      </c>
      <c r="M12" s="162">
        <v>40</v>
      </c>
      <c r="N12" s="162">
        <v>51</v>
      </c>
      <c r="O12" s="162">
        <v>65</v>
      </c>
      <c r="P12" s="161">
        <v>75</v>
      </c>
      <c r="Q12" s="142">
        <f t="shared" ref="Q12:Q25" si="0">SUM(G12:P12)-W12</f>
        <v>376</v>
      </c>
      <c r="R12" s="131">
        <f>Q12/14.5</f>
        <v>25.931034482758619</v>
      </c>
      <c r="S12" s="132" t="str">
        <f>IF(R12&gt;=50*0.9,"A",IF(R12&gt;=50*0.8,"B",IF(R12&gt;=50*0.7,"C",IF(R12&gt;=50*0.6,"D",IF(R12&gt;=50*0.5,"E",IF(Q12=0,"NA","F"))))))</f>
        <v>E</v>
      </c>
      <c r="T12" s="127">
        <f t="shared" ref="T12:T25" si="1">RANK(R12,$R$12:$R$25)</f>
        <v>10</v>
      </c>
      <c r="U12" s="161">
        <v>2</v>
      </c>
      <c r="V12" s="161">
        <v>0</v>
      </c>
      <c r="W12" s="153">
        <f t="shared" ref="W12:W25" si="2">SUM(U12:V12)</f>
        <v>2</v>
      </c>
    </row>
    <row r="13" spans="1:23" ht="25.5" customHeight="1" x14ac:dyDescent="0.25">
      <c r="A13" s="178">
        <v>2</v>
      </c>
      <c r="B13" s="165" t="s">
        <v>141</v>
      </c>
      <c r="C13" s="165" t="s">
        <v>142</v>
      </c>
      <c r="D13" s="165" t="s">
        <v>31</v>
      </c>
      <c r="E13" s="497" t="s">
        <v>143</v>
      </c>
      <c r="F13" s="498"/>
      <c r="G13" s="161">
        <v>38</v>
      </c>
      <c r="H13" s="162">
        <v>30</v>
      </c>
      <c r="I13" s="161">
        <v>24</v>
      </c>
      <c r="J13" s="210">
        <v>12</v>
      </c>
      <c r="K13" s="166">
        <v>0</v>
      </c>
      <c r="L13" s="162">
        <v>20</v>
      </c>
      <c r="M13" s="162">
        <v>55</v>
      </c>
      <c r="N13" s="162">
        <v>56</v>
      </c>
      <c r="O13" s="162">
        <v>65</v>
      </c>
      <c r="P13" s="161">
        <v>64</v>
      </c>
      <c r="Q13" s="142">
        <f t="shared" si="0"/>
        <v>364</v>
      </c>
      <c r="R13" s="131">
        <f t="shared" ref="R13:R25" si="3">Q13/14.5</f>
        <v>25.103448275862068</v>
      </c>
      <c r="S13" s="132" t="str">
        <f t="shared" ref="S13:S25" si="4">IF(R13&gt;=50*0.9,"A",IF(R13&gt;=50*0.8,"B",IF(R13&gt;=50*0.7,"C",IF(R13&gt;=50*0.6,"D",IF(R13&gt;=50*0.5,"E",IF(Q13=0,"NA","F"))))))</f>
        <v>E</v>
      </c>
      <c r="T13" s="127">
        <f t="shared" si="1"/>
        <v>11</v>
      </c>
      <c r="U13" s="161">
        <v>0</v>
      </c>
      <c r="V13" s="161">
        <v>0</v>
      </c>
      <c r="W13" s="153">
        <f t="shared" si="2"/>
        <v>0</v>
      </c>
    </row>
    <row r="14" spans="1:23" ht="25.5" customHeight="1" x14ac:dyDescent="0.25">
      <c r="A14" s="177">
        <v>3</v>
      </c>
      <c r="B14" s="165" t="s">
        <v>144</v>
      </c>
      <c r="C14" s="165" t="s">
        <v>145</v>
      </c>
      <c r="D14" s="165" t="s">
        <v>31</v>
      </c>
      <c r="E14" s="497" t="s">
        <v>146</v>
      </c>
      <c r="F14" s="498"/>
      <c r="G14" s="161">
        <v>30</v>
      </c>
      <c r="H14" s="162">
        <v>58</v>
      </c>
      <c r="I14" s="161">
        <v>29</v>
      </c>
      <c r="J14" s="210">
        <v>12</v>
      </c>
      <c r="K14" s="166">
        <v>0</v>
      </c>
      <c r="L14" s="162">
        <v>20</v>
      </c>
      <c r="M14" s="162">
        <v>50</v>
      </c>
      <c r="N14" s="162">
        <v>59</v>
      </c>
      <c r="O14" s="162">
        <v>75</v>
      </c>
      <c r="P14" s="161">
        <v>72</v>
      </c>
      <c r="Q14" s="142">
        <f t="shared" si="0"/>
        <v>405</v>
      </c>
      <c r="R14" s="131">
        <f t="shared" si="3"/>
        <v>27.931034482758619</v>
      </c>
      <c r="S14" s="132" t="str">
        <f t="shared" si="4"/>
        <v>E</v>
      </c>
      <c r="T14" s="127">
        <f t="shared" si="1"/>
        <v>7</v>
      </c>
      <c r="U14" s="161">
        <v>0</v>
      </c>
      <c r="V14" s="161">
        <v>0</v>
      </c>
      <c r="W14" s="153">
        <f t="shared" si="2"/>
        <v>0</v>
      </c>
    </row>
    <row r="15" spans="1:23" ht="25.5" customHeight="1" x14ac:dyDescent="0.25">
      <c r="A15" s="178">
        <v>4</v>
      </c>
      <c r="B15" s="165" t="s">
        <v>110</v>
      </c>
      <c r="C15" s="165" t="s">
        <v>147</v>
      </c>
      <c r="D15" s="165" t="s">
        <v>31</v>
      </c>
      <c r="E15" s="497" t="s">
        <v>148</v>
      </c>
      <c r="F15" s="498"/>
      <c r="G15" s="161">
        <v>42</v>
      </c>
      <c r="H15" s="162">
        <v>40</v>
      </c>
      <c r="I15" s="161">
        <v>35</v>
      </c>
      <c r="J15" s="210">
        <v>21</v>
      </c>
      <c r="K15" s="166">
        <v>0</v>
      </c>
      <c r="L15" s="162">
        <v>20</v>
      </c>
      <c r="M15" s="162">
        <v>70</v>
      </c>
      <c r="N15" s="162">
        <v>78</v>
      </c>
      <c r="O15" s="162">
        <v>70</v>
      </c>
      <c r="P15" s="161">
        <v>93</v>
      </c>
      <c r="Q15" s="224">
        <f t="shared" si="0"/>
        <v>469</v>
      </c>
      <c r="R15" s="145">
        <f t="shared" si="3"/>
        <v>32.344827586206897</v>
      </c>
      <c r="S15" s="146" t="str">
        <f t="shared" si="4"/>
        <v>D</v>
      </c>
      <c r="T15" s="130">
        <f t="shared" si="1"/>
        <v>2</v>
      </c>
      <c r="U15" s="161">
        <v>0</v>
      </c>
      <c r="V15" s="161">
        <v>0</v>
      </c>
      <c r="W15" s="153">
        <f t="shared" si="2"/>
        <v>0</v>
      </c>
    </row>
    <row r="16" spans="1:23" ht="25.5" customHeight="1" x14ac:dyDescent="0.25">
      <c r="A16" s="177">
        <v>5</v>
      </c>
      <c r="B16" s="165" t="s">
        <v>111</v>
      </c>
      <c r="C16" s="165" t="s">
        <v>149</v>
      </c>
      <c r="D16" s="165" t="s">
        <v>31</v>
      </c>
      <c r="E16" s="497" t="s">
        <v>150</v>
      </c>
      <c r="F16" s="498"/>
      <c r="G16" s="161">
        <v>30</v>
      </c>
      <c r="H16" s="162">
        <v>30</v>
      </c>
      <c r="I16" s="161">
        <v>17</v>
      </c>
      <c r="J16" s="210">
        <v>12</v>
      </c>
      <c r="K16" s="166">
        <v>0</v>
      </c>
      <c r="L16" s="162">
        <v>20</v>
      </c>
      <c r="M16" s="162">
        <v>55</v>
      </c>
      <c r="N16" s="162">
        <v>60</v>
      </c>
      <c r="O16" s="162">
        <v>78</v>
      </c>
      <c r="P16" s="161">
        <v>64</v>
      </c>
      <c r="Q16" s="142">
        <f t="shared" si="0"/>
        <v>363</v>
      </c>
      <c r="R16" s="131">
        <f t="shared" si="3"/>
        <v>25.03448275862069</v>
      </c>
      <c r="S16" s="132" t="str">
        <f t="shared" si="4"/>
        <v>E</v>
      </c>
      <c r="T16" s="127">
        <f t="shared" si="1"/>
        <v>12</v>
      </c>
      <c r="U16" s="161">
        <v>3</v>
      </c>
      <c r="V16" s="161">
        <v>0</v>
      </c>
      <c r="W16" s="153">
        <f t="shared" si="2"/>
        <v>3</v>
      </c>
    </row>
    <row r="17" spans="1:23" ht="25.5" customHeight="1" x14ac:dyDescent="0.25">
      <c r="A17" s="178">
        <v>6</v>
      </c>
      <c r="B17" s="165" t="s">
        <v>151</v>
      </c>
      <c r="C17" s="165" t="s">
        <v>152</v>
      </c>
      <c r="D17" s="165" t="s">
        <v>31</v>
      </c>
      <c r="E17" s="497" t="s">
        <v>153</v>
      </c>
      <c r="F17" s="498"/>
      <c r="G17" s="161">
        <v>30</v>
      </c>
      <c r="H17" s="162">
        <v>51</v>
      </c>
      <c r="I17" s="161">
        <v>31</v>
      </c>
      <c r="J17" s="210">
        <v>12</v>
      </c>
      <c r="K17" s="166">
        <v>0</v>
      </c>
      <c r="L17" s="162">
        <v>20</v>
      </c>
      <c r="M17" s="162">
        <v>40</v>
      </c>
      <c r="N17" s="162">
        <v>50</v>
      </c>
      <c r="O17" s="162">
        <v>85</v>
      </c>
      <c r="P17" s="161">
        <v>69</v>
      </c>
      <c r="Q17" s="142">
        <f t="shared" si="0"/>
        <v>385</v>
      </c>
      <c r="R17" s="131">
        <f t="shared" si="3"/>
        <v>26.551724137931036</v>
      </c>
      <c r="S17" s="132" t="str">
        <f t="shared" si="4"/>
        <v>E</v>
      </c>
      <c r="T17" s="127">
        <f t="shared" si="1"/>
        <v>9</v>
      </c>
      <c r="U17" s="161">
        <v>3</v>
      </c>
      <c r="V17" s="161">
        <v>0</v>
      </c>
      <c r="W17" s="153">
        <f t="shared" si="2"/>
        <v>3</v>
      </c>
    </row>
    <row r="18" spans="1:23" ht="25.5" customHeight="1" x14ac:dyDescent="0.25">
      <c r="A18" s="177">
        <v>7</v>
      </c>
      <c r="B18" s="165" t="s">
        <v>154</v>
      </c>
      <c r="C18" s="165" t="s">
        <v>155</v>
      </c>
      <c r="D18" s="165" t="s">
        <v>31</v>
      </c>
      <c r="E18" s="497" t="s">
        <v>156</v>
      </c>
      <c r="F18" s="498"/>
      <c r="G18" s="161">
        <v>30</v>
      </c>
      <c r="H18" s="162">
        <v>55</v>
      </c>
      <c r="I18" s="161">
        <v>47</v>
      </c>
      <c r="J18" s="210">
        <v>13</v>
      </c>
      <c r="K18" s="166">
        <v>0</v>
      </c>
      <c r="L18" s="162">
        <v>20</v>
      </c>
      <c r="M18" s="162">
        <v>68</v>
      </c>
      <c r="N18" s="162">
        <v>65</v>
      </c>
      <c r="O18" s="162">
        <v>75</v>
      </c>
      <c r="P18" s="161">
        <v>74</v>
      </c>
      <c r="Q18" s="142">
        <f t="shared" si="0"/>
        <v>447</v>
      </c>
      <c r="R18" s="131">
        <f t="shared" si="3"/>
        <v>30.827586206896552</v>
      </c>
      <c r="S18" s="132" t="str">
        <f t="shared" si="4"/>
        <v>D</v>
      </c>
      <c r="T18" s="127">
        <f t="shared" si="1"/>
        <v>4</v>
      </c>
      <c r="U18" s="161">
        <v>0</v>
      </c>
      <c r="V18" s="161">
        <v>0</v>
      </c>
      <c r="W18" s="153">
        <f t="shared" si="2"/>
        <v>0</v>
      </c>
    </row>
    <row r="19" spans="1:23" ht="25.5" customHeight="1" x14ac:dyDescent="0.25">
      <c r="A19" s="178">
        <v>8</v>
      </c>
      <c r="B19" s="165" t="s">
        <v>157</v>
      </c>
      <c r="C19" s="165" t="s">
        <v>158</v>
      </c>
      <c r="D19" s="165" t="s">
        <v>31</v>
      </c>
      <c r="E19" s="497" t="s">
        <v>119</v>
      </c>
      <c r="F19" s="498"/>
      <c r="G19" s="161">
        <v>40</v>
      </c>
      <c r="H19" s="162">
        <v>30</v>
      </c>
      <c r="I19" s="161">
        <v>32</v>
      </c>
      <c r="J19" s="210">
        <v>13</v>
      </c>
      <c r="K19" s="166">
        <v>0</v>
      </c>
      <c r="L19" s="162">
        <v>20</v>
      </c>
      <c r="M19" s="162">
        <v>61</v>
      </c>
      <c r="N19" s="162">
        <v>63</v>
      </c>
      <c r="O19" s="162">
        <v>80</v>
      </c>
      <c r="P19" s="161">
        <v>91</v>
      </c>
      <c r="Q19" s="142">
        <f t="shared" si="0"/>
        <v>428</v>
      </c>
      <c r="R19" s="131">
        <f t="shared" si="3"/>
        <v>29.517241379310345</v>
      </c>
      <c r="S19" s="132" t="str">
        <f t="shared" si="4"/>
        <v>E</v>
      </c>
      <c r="T19" s="127">
        <f t="shared" si="1"/>
        <v>5</v>
      </c>
      <c r="U19" s="161">
        <v>2</v>
      </c>
      <c r="V19" s="161">
        <v>0</v>
      </c>
      <c r="W19" s="153">
        <f t="shared" si="2"/>
        <v>2</v>
      </c>
    </row>
    <row r="20" spans="1:23" ht="25.5" customHeight="1" x14ac:dyDescent="0.25">
      <c r="A20" s="177">
        <v>9</v>
      </c>
      <c r="B20" s="165" t="s">
        <v>108</v>
      </c>
      <c r="C20" s="165" t="s">
        <v>160</v>
      </c>
      <c r="D20" s="165" t="s">
        <v>31</v>
      </c>
      <c r="E20" s="497" t="s">
        <v>161</v>
      </c>
      <c r="F20" s="498"/>
      <c r="G20" s="161">
        <v>30</v>
      </c>
      <c r="H20" s="162">
        <v>30</v>
      </c>
      <c r="I20" s="161">
        <v>37</v>
      </c>
      <c r="J20" s="210">
        <v>13</v>
      </c>
      <c r="K20" s="166">
        <v>0</v>
      </c>
      <c r="L20" s="162">
        <v>20</v>
      </c>
      <c r="M20" s="162">
        <v>51</v>
      </c>
      <c r="N20" s="162">
        <v>65</v>
      </c>
      <c r="O20" s="162">
        <v>70</v>
      </c>
      <c r="P20" s="161">
        <v>73</v>
      </c>
      <c r="Q20" s="224">
        <f t="shared" si="0"/>
        <v>389</v>
      </c>
      <c r="R20" s="145">
        <f t="shared" si="3"/>
        <v>26.827586206896552</v>
      </c>
      <c r="S20" s="146" t="str">
        <f t="shared" si="4"/>
        <v>E</v>
      </c>
      <c r="T20" s="130">
        <f t="shared" si="1"/>
        <v>8</v>
      </c>
      <c r="U20" s="161">
        <v>0</v>
      </c>
      <c r="V20" s="161">
        <v>0</v>
      </c>
      <c r="W20" s="153">
        <f t="shared" si="2"/>
        <v>0</v>
      </c>
    </row>
    <row r="21" spans="1:23" ht="23.25" customHeight="1" x14ac:dyDescent="0.25">
      <c r="A21" s="178">
        <v>10</v>
      </c>
      <c r="B21" s="165" t="s">
        <v>162</v>
      </c>
      <c r="C21" s="165" t="s">
        <v>163</v>
      </c>
      <c r="D21" s="165" t="s">
        <v>31</v>
      </c>
      <c r="E21" s="497" t="s">
        <v>164</v>
      </c>
      <c r="F21" s="498"/>
      <c r="G21" s="161">
        <v>42</v>
      </c>
      <c r="H21" s="162">
        <v>47</v>
      </c>
      <c r="I21" s="161">
        <v>28</v>
      </c>
      <c r="J21" s="210">
        <v>13</v>
      </c>
      <c r="K21" s="166">
        <v>0</v>
      </c>
      <c r="L21" s="162">
        <v>20</v>
      </c>
      <c r="M21" s="162">
        <v>50</v>
      </c>
      <c r="N21" s="162">
        <v>77</v>
      </c>
      <c r="O21" s="162">
        <v>78</v>
      </c>
      <c r="P21" s="161">
        <v>101</v>
      </c>
      <c r="Q21" s="142">
        <f t="shared" si="0"/>
        <v>455</v>
      </c>
      <c r="R21" s="131">
        <f t="shared" si="3"/>
        <v>31.379310344827587</v>
      </c>
      <c r="S21" s="132" t="str">
        <f t="shared" si="4"/>
        <v>D</v>
      </c>
      <c r="T21" s="127">
        <f t="shared" si="1"/>
        <v>3</v>
      </c>
      <c r="U21" s="161">
        <v>1</v>
      </c>
      <c r="V21" s="161">
        <v>0</v>
      </c>
      <c r="W21" s="153">
        <f t="shared" si="2"/>
        <v>1</v>
      </c>
    </row>
    <row r="22" spans="1:23" s="91" customFormat="1" ht="23.25" customHeight="1" x14ac:dyDescent="0.25">
      <c r="A22" s="177">
        <v>11</v>
      </c>
      <c r="B22" s="165" t="s">
        <v>114</v>
      </c>
      <c r="C22" s="165" t="s">
        <v>165</v>
      </c>
      <c r="D22" s="165" t="s">
        <v>31</v>
      </c>
      <c r="E22" s="497" t="s">
        <v>166</v>
      </c>
      <c r="F22" s="498"/>
      <c r="G22" s="161">
        <v>54</v>
      </c>
      <c r="H22" s="162">
        <v>45</v>
      </c>
      <c r="I22" s="161">
        <v>26</v>
      </c>
      <c r="J22" s="210">
        <v>12</v>
      </c>
      <c r="K22" s="166">
        <v>0</v>
      </c>
      <c r="L22" s="162">
        <v>20</v>
      </c>
      <c r="M22" s="162">
        <v>60</v>
      </c>
      <c r="N22" s="162">
        <v>58</v>
      </c>
      <c r="O22" s="162">
        <v>60</v>
      </c>
      <c r="P22" s="161">
        <v>90</v>
      </c>
      <c r="Q22" s="142">
        <f t="shared" si="0"/>
        <v>424</v>
      </c>
      <c r="R22" s="131">
        <f>Q22/14.5</f>
        <v>29.241379310344829</v>
      </c>
      <c r="S22" s="132" t="str">
        <f>IF(R22&gt;=50*0.9,"A",IF(R22&gt;=50*0.8,"B",IF(R22&gt;=50*0.7,"C",IF(R22&gt;=50*0.6,"D",IF(R22&gt;=50*0.5,"E",IF(Q22=0,"NA","F"))))))</f>
        <v>E</v>
      </c>
      <c r="T22" s="127">
        <f t="shared" si="1"/>
        <v>6</v>
      </c>
      <c r="U22" s="161">
        <v>1</v>
      </c>
      <c r="V22" s="161">
        <v>0</v>
      </c>
      <c r="W22" s="153">
        <f t="shared" si="2"/>
        <v>1</v>
      </c>
    </row>
    <row r="23" spans="1:23" ht="23.25" customHeight="1" x14ac:dyDescent="0.25">
      <c r="A23" s="178">
        <v>12</v>
      </c>
      <c r="B23" s="165" t="s">
        <v>118</v>
      </c>
      <c r="C23" s="165" t="s">
        <v>167</v>
      </c>
      <c r="D23" s="165" t="s">
        <v>31</v>
      </c>
      <c r="E23" s="497" t="s">
        <v>150</v>
      </c>
      <c r="F23" s="498"/>
      <c r="G23" s="161">
        <v>30</v>
      </c>
      <c r="H23" s="162">
        <v>30</v>
      </c>
      <c r="I23" s="161">
        <v>29</v>
      </c>
      <c r="J23" s="210">
        <v>12</v>
      </c>
      <c r="K23" s="166">
        <v>0</v>
      </c>
      <c r="L23" s="162">
        <v>20</v>
      </c>
      <c r="M23" s="162">
        <v>40</v>
      </c>
      <c r="N23" s="162">
        <v>51</v>
      </c>
      <c r="O23" s="162">
        <v>95</v>
      </c>
      <c r="P23" s="161">
        <v>58</v>
      </c>
      <c r="Q23" s="142">
        <f t="shared" si="0"/>
        <v>363</v>
      </c>
      <c r="R23" s="131">
        <f t="shared" si="3"/>
        <v>25.03448275862069</v>
      </c>
      <c r="S23" s="132" t="str">
        <f t="shared" si="4"/>
        <v>E</v>
      </c>
      <c r="T23" s="127">
        <f t="shared" si="1"/>
        <v>12</v>
      </c>
      <c r="U23" s="161">
        <v>2</v>
      </c>
      <c r="V23" s="161">
        <v>0</v>
      </c>
      <c r="W23" s="153">
        <f t="shared" si="2"/>
        <v>2</v>
      </c>
    </row>
    <row r="24" spans="1:23" s="91" customFormat="1" ht="23.25" customHeight="1" x14ac:dyDescent="0.25">
      <c r="A24" s="177">
        <v>13</v>
      </c>
      <c r="B24" s="165" t="s">
        <v>168</v>
      </c>
      <c r="C24" s="165" t="s">
        <v>107</v>
      </c>
      <c r="D24" s="165" t="s">
        <v>31</v>
      </c>
      <c r="E24" s="497" t="s">
        <v>169</v>
      </c>
      <c r="F24" s="498"/>
      <c r="G24" s="161">
        <v>30</v>
      </c>
      <c r="H24" s="162">
        <v>58</v>
      </c>
      <c r="I24" s="161">
        <v>40</v>
      </c>
      <c r="J24" s="210">
        <v>12</v>
      </c>
      <c r="K24" s="166">
        <v>0</v>
      </c>
      <c r="L24" s="162">
        <v>20</v>
      </c>
      <c r="M24" s="162">
        <v>91</v>
      </c>
      <c r="N24" s="162">
        <v>77</v>
      </c>
      <c r="O24" s="162">
        <v>70</v>
      </c>
      <c r="P24" s="161">
        <v>108</v>
      </c>
      <c r="Q24" s="224">
        <f t="shared" si="0"/>
        <v>502</v>
      </c>
      <c r="R24" s="145">
        <f t="shared" si="3"/>
        <v>34.620689655172413</v>
      </c>
      <c r="S24" s="146" t="str">
        <f t="shared" si="4"/>
        <v>D</v>
      </c>
      <c r="T24" s="130">
        <f t="shared" si="1"/>
        <v>1</v>
      </c>
      <c r="U24" s="161">
        <v>4</v>
      </c>
      <c r="V24" s="161">
        <v>0</v>
      </c>
      <c r="W24" s="153">
        <f t="shared" si="2"/>
        <v>4</v>
      </c>
    </row>
    <row r="25" spans="1:23" s="91" customFormat="1" ht="23.25" customHeight="1" x14ac:dyDescent="0.25">
      <c r="A25" s="178">
        <v>14</v>
      </c>
      <c r="B25" s="165" t="s">
        <v>170</v>
      </c>
      <c r="C25" s="165" t="s">
        <v>171</v>
      </c>
      <c r="D25" s="165" t="s">
        <v>31</v>
      </c>
      <c r="E25" s="497" t="s">
        <v>172</v>
      </c>
      <c r="F25" s="498"/>
      <c r="G25" s="161">
        <v>30</v>
      </c>
      <c r="H25" s="162">
        <v>30</v>
      </c>
      <c r="I25" s="161">
        <v>29</v>
      </c>
      <c r="J25" s="210">
        <v>12</v>
      </c>
      <c r="K25" s="166">
        <v>0</v>
      </c>
      <c r="L25" s="162">
        <v>20</v>
      </c>
      <c r="M25" s="162">
        <v>48</v>
      </c>
      <c r="N25" s="162">
        <v>55</v>
      </c>
      <c r="O25" s="162">
        <v>75</v>
      </c>
      <c r="P25" s="161">
        <v>64</v>
      </c>
      <c r="Q25" s="142">
        <f t="shared" si="0"/>
        <v>363</v>
      </c>
      <c r="R25" s="131">
        <f t="shared" si="3"/>
        <v>25.03448275862069</v>
      </c>
      <c r="S25" s="132" t="str">
        <f t="shared" si="4"/>
        <v>E</v>
      </c>
      <c r="T25" s="127">
        <f t="shared" si="1"/>
        <v>12</v>
      </c>
      <c r="U25" s="161">
        <v>0</v>
      </c>
      <c r="V25" s="161">
        <v>0</v>
      </c>
      <c r="W25" s="153">
        <f t="shared" si="2"/>
        <v>0</v>
      </c>
    </row>
    <row r="26" spans="1:23" s="91" customFormat="1" ht="22.5" hidden="1" customHeight="1" x14ac:dyDescent="0.25">
      <c r="A26" s="101">
        <v>18</v>
      </c>
      <c r="B26" s="134" t="s">
        <v>170</v>
      </c>
      <c r="C26" s="134" t="s">
        <v>171</v>
      </c>
      <c r="D26" s="134" t="s">
        <v>31</v>
      </c>
      <c r="E26" s="511" t="s">
        <v>172</v>
      </c>
      <c r="F26" s="512"/>
      <c r="G26" s="111">
        <v>50</v>
      </c>
      <c r="H26" s="119">
        <v>37</v>
      </c>
      <c r="I26" s="119">
        <v>26</v>
      </c>
      <c r="J26" s="144"/>
      <c r="K26" s="137">
        <v>12</v>
      </c>
      <c r="L26" s="111"/>
      <c r="M26" s="122">
        <v>50</v>
      </c>
      <c r="N26" s="119">
        <v>50</v>
      </c>
      <c r="O26" s="136">
        <v>90</v>
      </c>
      <c r="P26" s="135">
        <v>100</v>
      </c>
      <c r="U26" s="225">
        <v>0</v>
      </c>
      <c r="V26" s="225">
        <v>0</v>
      </c>
    </row>
    <row r="27" spans="1:23" ht="22.5" hidden="1" customHeight="1" x14ac:dyDescent="0.25">
      <c r="A27" s="139">
        <v>19</v>
      </c>
      <c r="B27"/>
      <c r="U27" s="161">
        <v>0</v>
      </c>
      <c r="V27" s="161">
        <v>0</v>
      </c>
    </row>
    <row r="28" spans="1:23" ht="22.5" hidden="1" customHeight="1" x14ac:dyDescent="0.25">
      <c r="A28" s="101">
        <v>20</v>
      </c>
      <c r="B28"/>
      <c r="U28" s="161">
        <v>0</v>
      </c>
      <c r="V28" s="161">
        <v>0</v>
      </c>
    </row>
    <row r="29" spans="1:23" ht="25.9" customHeight="1" x14ac:dyDescent="0.25">
      <c r="A29" s="374" t="str">
        <f>"បញ្ឈប់បញ្ជីត្រឹមឈ្មោះ លី សុងហ៊ុន  "&amp;"      ចំនួនសរុប  "&amp;COUNT(A12:A25)&amp;"  នាក់"&amp;"      ក្នុងនោះស្រី  "&amp;COUNTIF(D12:D25,"ស")&amp;"  នាក់ ។"</f>
        <v>បញ្ឈប់បញ្ជីត្រឹមឈ្មោះ លី សុងហ៊ុន        ចំនួនសរុប  14  នាក់      ក្នុងនោះស្រី  0  នាក់ ។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  <c r="P29" s="374"/>
      <c r="Q29" s="374"/>
      <c r="R29" s="9"/>
      <c r="S29" s="9"/>
    </row>
    <row r="30" spans="1:23" ht="22.9" customHeight="1" x14ac:dyDescent="0.25">
      <c r="B30" s="53" t="s">
        <v>34</v>
      </c>
      <c r="C30" s="53"/>
    </row>
    <row r="31" spans="1:23" ht="22.9" customHeight="1" x14ac:dyDescent="0.6">
      <c r="A31" s="377" t="s">
        <v>51</v>
      </c>
      <c r="B31" s="510"/>
      <c r="C31" s="378"/>
      <c r="D31" s="48" t="s">
        <v>8</v>
      </c>
      <c r="E31" s="377" t="s">
        <v>39</v>
      </c>
      <c r="F31" s="378"/>
    </row>
    <row r="32" spans="1:23" ht="22.9" customHeight="1" x14ac:dyDescent="0.65">
      <c r="A32" s="382" t="s">
        <v>79</v>
      </c>
      <c r="B32" s="509"/>
      <c r="C32" s="383"/>
      <c r="D32" s="42" t="s">
        <v>26</v>
      </c>
      <c r="E32" s="382" t="s">
        <v>52</v>
      </c>
      <c r="F32" s="383"/>
      <c r="Q32" s="23"/>
    </row>
    <row r="33" spans="1:25" ht="21.95" customHeight="1" x14ac:dyDescent="0.25">
      <c r="A33" s="367" t="s">
        <v>80</v>
      </c>
      <c r="B33" s="505"/>
      <c r="C33" s="368"/>
      <c r="D33" s="43" t="s">
        <v>27</v>
      </c>
      <c r="E33" s="367" t="s">
        <v>35</v>
      </c>
      <c r="F33" s="368"/>
    </row>
    <row r="34" spans="1:25" ht="21.95" customHeight="1" x14ac:dyDescent="0.25">
      <c r="A34" s="371" t="s">
        <v>81</v>
      </c>
      <c r="B34" s="506"/>
      <c r="C34" s="372"/>
      <c r="D34" s="44" t="s">
        <v>28</v>
      </c>
      <c r="E34" s="371" t="s">
        <v>36</v>
      </c>
      <c r="F34" s="372"/>
      <c r="I34" s="38"/>
      <c r="J34" s="39"/>
      <c r="K34" s="38"/>
      <c r="L34" s="39"/>
      <c r="M34" s="38"/>
      <c r="N34" s="379"/>
      <c r="O34" s="379"/>
      <c r="P34" s="379"/>
    </row>
    <row r="35" spans="1:25" ht="24.95" customHeight="1" x14ac:dyDescent="0.25">
      <c r="A35" s="331" t="s">
        <v>82</v>
      </c>
      <c r="B35" s="507"/>
      <c r="C35" s="332"/>
      <c r="D35" s="45" t="s">
        <v>29</v>
      </c>
      <c r="E35" s="331" t="s">
        <v>42</v>
      </c>
      <c r="F35" s="332"/>
      <c r="I35" s="25"/>
      <c r="J35" s="26"/>
      <c r="K35" s="26"/>
      <c r="L35" s="26"/>
      <c r="M35" s="26"/>
      <c r="N35" s="8"/>
      <c r="O35" s="8"/>
      <c r="P35" s="8"/>
    </row>
    <row r="36" spans="1:25" ht="24.95" customHeight="1" x14ac:dyDescent="0.25">
      <c r="A36" s="335" t="s">
        <v>83</v>
      </c>
      <c r="B36" s="508"/>
      <c r="C36" s="336"/>
      <c r="D36" s="46" t="s">
        <v>41</v>
      </c>
      <c r="E36" s="335" t="s">
        <v>37</v>
      </c>
      <c r="F36" s="336"/>
      <c r="I36" s="26"/>
      <c r="J36" s="26"/>
      <c r="K36" s="26"/>
      <c r="L36" s="13"/>
      <c r="M36" s="13"/>
      <c r="N36" s="13"/>
      <c r="O36" s="13"/>
      <c r="P36" s="13"/>
    </row>
    <row r="37" spans="1:25" ht="24.75" customHeight="1" x14ac:dyDescent="0.25">
      <c r="A37" s="495" t="s">
        <v>84</v>
      </c>
      <c r="B37" s="504"/>
      <c r="C37" s="496"/>
      <c r="D37" s="47" t="s">
        <v>30</v>
      </c>
      <c r="E37" s="495" t="s">
        <v>38</v>
      </c>
      <c r="F37" s="496"/>
      <c r="G37" s="71"/>
      <c r="H37" s="71"/>
      <c r="I37" s="26"/>
      <c r="J37" s="26"/>
      <c r="K37" s="26"/>
      <c r="L37" s="13"/>
      <c r="M37" s="13"/>
      <c r="N37" s="13"/>
      <c r="O37" s="13"/>
      <c r="P37" s="13"/>
    </row>
    <row r="38" spans="1:25" ht="28.9" customHeight="1" x14ac:dyDescent="0.8">
      <c r="A38" s="31"/>
      <c r="B38" s="490" t="s">
        <v>92</v>
      </c>
      <c r="C38" s="490"/>
      <c r="D38" s="490"/>
      <c r="E38" s="490"/>
      <c r="F38" s="490"/>
      <c r="G38" s="490"/>
      <c r="H38" s="490"/>
      <c r="I38" s="490"/>
      <c r="J38" s="26"/>
      <c r="K38" s="26"/>
      <c r="L38" s="13"/>
      <c r="M38" s="13"/>
      <c r="N38" s="13"/>
      <c r="O38" s="13"/>
      <c r="P38" s="13"/>
    </row>
    <row r="39" spans="1:25" ht="22.5" customHeight="1" x14ac:dyDescent="0.65">
      <c r="A39" s="252" t="s">
        <v>33</v>
      </c>
      <c r="B39" s="252"/>
      <c r="C39" s="252"/>
      <c r="D39" s="252"/>
      <c r="E39" s="347"/>
      <c r="F39" s="69" t="s">
        <v>3</v>
      </c>
      <c r="G39" s="70" t="s">
        <v>4</v>
      </c>
      <c r="I39" s="26"/>
      <c r="J39" s="26"/>
      <c r="K39" s="26"/>
      <c r="L39" s="13"/>
      <c r="M39" s="13"/>
      <c r="N39" s="9"/>
    </row>
    <row r="40" spans="1:25" ht="25.5" customHeight="1" x14ac:dyDescent="0.65">
      <c r="B40" s="418" t="s">
        <v>55</v>
      </c>
      <c r="C40" s="419"/>
      <c r="D40" s="422" t="s">
        <v>67</v>
      </c>
      <c r="E40" s="499"/>
      <c r="F40" s="67">
        <f>D43+F43</f>
        <v>14</v>
      </c>
      <c r="G40" s="68">
        <f>E43+G43</f>
        <v>0</v>
      </c>
      <c r="H40" s="358" t="s">
        <v>8</v>
      </c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60"/>
      <c r="T40" s="80" t="s">
        <v>85</v>
      </c>
      <c r="U40" s="80"/>
    </row>
    <row r="41" spans="1:25" ht="46.9" customHeight="1" x14ac:dyDescent="0.25">
      <c r="A41" s="8"/>
      <c r="B41" s="420"/>
      <c r="C41" s="421"/>
      <c r="D41" s="500" t="s">
        <v>77</v>
      </c>
      <c r="E41" s="501"/>
      <c r="F41" s="502" t="s">
        <v>86</v>
      </c>
      <c r="G41" s="503"/>
      <c r="H41" s="341" t="s">
        <v>26</v>
      </c>
      <c r="I41" s="342"/>
      <c r="J41" s="341" t="s">
        <v>27</v>
      </c>
      <c r="K41" s="342"/>
      <c r="L41" s="341" t="s">
        <v>28</v>
      </c>
      <c r="M41" s="342"/>
      <c r="N41" s="341" t="s">
        <v>29</v>
      </c>
      <c r="O41" s="342"/>
      <c r="P41" s="343" t="s">
        <v>41</v>
      </c>
      <c r="Q41" s="344"/>
      <c r="R41" s="348" t="s">
        <v>88</v>
      </c>
      <c r="S41" s="349"/>
      <c r="T41" s="80"/>
      <c r="U41" s="80"/>
    </row>
    <row r="42" spans="1:25" ht="23.25" x14ac:dyDescent="0.6">
      <c r="A42" s="8"/>
      <c r="B42" s="4" t="s">
        <v>3</v>
      </c>
      <c r="C42" s="33" t="s">
        <v>4</v>
      </c>
      <c r="D42" s="4" t="s">
        <v>3</v>
      </c>
      <c r="E42" s="33" t="s">
        <v>4</v>
      </c>
      <c r="F42" s="4" t="s">
        <v>3</v>
      </c>
      <c r="G42" s="33" t="s">
        <v>4</v>
      </c>
      <c r="H42" s="4" t="s">
        <v>3</v>
      </c>
      <c r="I42" s="52" t="s">
        <v>4</v>
      </c>
      <c r="J42" s="40" t="s">
        <v>3</v>
      </c>
      <c r="K42" s="33" t="s">
        <v>4</v>
      </c>
      <c r="L42" s="4" t="s">
        <v>3</v>
      </c>
      <c r="M42" s="33" t="s">
        <v>4</v>
      </c>
      <c r="N42" s="4" t="s">
        <v>3</v>
      </c>
      <c r="O42" s="33" t="s">
        <v>4</v>
      </c>
      <c r="P42" s="4" t="s">
        <v>3</v>
      </c>
      <c r="Q42" s="33" t="s">
        <v>4</v>
      </c>
      <c r="R42" s="63" t="s">
        <v>3</v>
      </c>
      <c r="S42" s="64" t="s">
        <v>4</v>
      </c>
      <c r="T42" s="33"/>
      <c r="U42" s="4"/>
    </row>
    <row r="43" spans="1:25" ht="23.25" customHeight="1" x14ac:dyDescent="0.25">
      <c r="A43" s="8"/>
      <c r="B43" s="55">
        <f>COUNT(A12:A25)</f>
        <v>14</v>
      </c>
      <c r="C43" s="56">
        <f>COUNTIF(D21:D25,"ស")</f>
        <v>0</v>
      </c>
      <c r="D43" s="55">
        <f>SUM(H43,J43,L43,N43,P43)</f>
        <v>14</v>
      </c>
      <c r="E43" s="56">
        <f>SUM(I43,K43,M43,O43,Q43)</f>
        <v>0</v>
      </c>
      <c r="F43" s="32">
        <f>COUNTIF(S12:S25,"F")</f>
        <v>0</v>
      </c>
      <c r="G43" s="34">
        <f>COUNTIFS(S21:S25,"F",D21:D25,"ស")</f>
        <v>0</v>
      </c>
      <c r="H43" s="35">
        <f>COUNTIF(S12:S25,"A")</f>
        <v>0</v>
      </c>
      <c r="I43" s="34">
        <f>COUNTIFS(S12:S25,"A",D12:D25,"ស")</f>
        <v>0</v>
      </c>
      <c r="J43" s="35">
        <f>COUNTIF(S12:S25,"B")</f>
        <v>0</v>
      </c>
      <c r="K43" s="34">
        <f>COUNTIFS(S12:S25,"B",D12:D25,"ស")</f>
        <v>0</v>
      </c>
      <c r="L43" s="35">
        <f>COUNTIF(S12:S25,"C")</f>
        <v>0</v>
      </c>
      <c r="M43" s="34">
        <f>COUNTIFS(S12:S25,"C",D12:D25,"ស")</f>
        <v>0</v>
      </c>
      <c r="N43" s="35">
        <f>COUNTIF(S12:S25,"D")</f>
        <v>4</v>
      </c>
      <c r="O43" s="34">
        <f>COUNTIFS(S12:S25,"D",D12:D25,"ស")</f>
        <v>0</v>
      </c>
      <c r="P43" s="35">
        <f>COUNTIF(S12:S25,"E")</f>
        <v>10</v>
      </c>
      <c r="Q43" s="34">
        <f>COUNTIFS(S12:S25,"E",D12:D25,"ស")</f>
        <v>0</v>
      </c>
      <c r="R43" s="65">
        <f>COUNTIF(S12:S25,"NA")</f>
        <v>0</v>
      </c>
      <c r="S43" s="66">
        <f>COUNTIFS(S21:S25,"NA",D21:D25,"ស")</f>
        <v>0</v>
      </c>
      <c r="T43" s="34"/>
      <c r="U43" s="55"/>
    </row>
    <row r="44" spans="1:25" ht="0.6" customHeight="1" x14ac:dyDescent="0.35">
      <c r="A44" s="8"/>
      <c r="B44" s="92"/>
      <c r="D44" s="54"/>
    </row>
    <row r="45" spans="1:25" ht="5.45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9"/>
    </row>
    <row r="46" spans="1:25" ht="24.95" customHeight="1" x14ac:dyDescent="0.25">
      <c r="A46" s="340" t="s">
        <v>22</v>
      </c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11"/>
      <c r="O46" s="13"/>
      <c r="P46" s="350" t="str">
        <f>អគ្គិសនី២!O46</f>
        <v>ថ្ងៃអង្គារ  ១៣កើត ខែចេត្រ ឆ្នាំម្សាញ់ សប្តស័ក ព.ស ២៥៦៩</v>
      </c>
      <c r="Q46" s="350"/>
      <c r="R46" s="350"/>
      <c r="S46" s="350"/>
      <c r="T46" s="350"/>
      <c r="U46" s="350"/>
      <c r="V46" s="350"/>
      <c r="W46" s="350"/>
    </row>
    <row r="47" spans="1:25" ht="24.75" customHeight="1" x14ac:dyDescent="0.25">
      <c r="A47" s="340" t="str">
        <f>ស្ថិតិលទ្ធផលសិក្សាតាមនិទ្ទេស!A73</f>
        <v>នាយកសាលា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13"/>
      <c r="O47" s="13"/>
      <c r="P47" s="351" t="str">
        <f>អគ្គិសនី១!P49</f>
        <v>ធ្វើនៅដុនបូស្កូប៉ោយប៉ែត ថ្ងៃទី៣១ខែ មីនាឆ្នាំ ២០២៦</v>
      </c>
      <c r="Q47" s="351"/>
      <c r="R47" s="351"/>
      <c r="S47" s="351"/>
      <c r="T47" s="351"/>
      <c r="U47" s="351"/>
      <c r="V47" s="351"/>
      <c r="W47" s="351"/>
    </row>
    <row r="48" spans="1:25" ht="21" customHeight="1" x14ac:dyDescent="0.65">
      <c r="N48" s="16"/>
      <c r="O48" s="16"/>
      <c r="P48" s="16"/>
      <c r="Q48" s="21"/>
      <c r="R48" s="16"/>
      <c r="S48" s="147" t="s">
        <v>16</v>
      </c>
      <c r="T48" s="147"/>
      <c r="U48" s="147"/>
      <c r="V48" s="147"/>
      <c r="W48" s="147"/>
      <c r="X48" s="147"/>
      <c r="Y48" s="147"/>
    </row>
    <row r="49" spans="1:19" ht="21" x14ac:dyDescent="0.25">
      <c r="A49" s="14"/>
      <c r="B49" s="22"/>
      <c r="C49" s="22"/>
      <c r="D49" s="22"/>
      <c r="E49" s="22"/>
      <c r="F49" s="22"/>
      <c r="G49" s="22"/>
      <c r="I49" s="22"/>
      <c r="J49" s="17"/>
      <c r="K49" s="15"/>
      <c r="L49" s="15"/>
      <c r="M49" s="20"/>
      <c r="N49" s="16"/>
      <c r="O49" s="16"/>
      <c r="P49" s="16"/>
      <c r="Q49" s="21"/>
      <c r="R49" s="16"/>
      <c r="S49" s="16"/>
    </row>
  </sheetData>
  <mergeCells count="78">
    <mergeCell ref="R9:R11"/>
    <mergeCell ref="A1:W1"/>
    <mergeCell ref="A2:W2"/>
    <mergeCell ref="A3:W3"/>
    <mergeCell ref="U4:W4"/>
    <mergeCell ref="U9:W10"/>
    <mergeCell ref="G10:G11"/>
    <mergeCell ref="H10:H11"/>
    <mergeCell ref="I10:I11"/>
    <mergeCell ref="J10:J11"/>
    <mergeCell ref="K10:K11"/>
    <mergeCell ref="L10:L11"/>
    <mergeCell ref="S9:S11"/>
    <mergeCell ref="C9:C11"/>
    <mergeCell ref="D9:D11"/>
    <mergeCell ref="E9:F11"/>
    <mergeCell ref="E18:F18"/>
    <mergeCell ref="E19:F19"/>
    <mergeCell ref="N34:P34"/>
    <mergeCell ref="M10:M11"/>
    <mergeCell ref="N10:N11"/>
    <mergeCell ref="O10:O11"/>
    <mergeCell ref="P10:P11"/>
    <mergeCell ref="E24:F24"/>
    <mergeCell ref="E22:F22"/>
    <mergeCell ref="E17:F17"/>
    <mergeCell ref="E21:F21"/>
    <mergeCell ref="E20:F20"/>
    <mergeCell ref="A32:C32"/>
    <mergeCell ref="E31:F31"/>
    <mergeCell ref="E32:F32"/>
    <mergeCell ref="E25:F25"/>
    <mergeCell ref="A29:Q29"/>
    <mergeCell ref="A31:C31"/>
    <mergeCell ref="E26:F26"/>
    <mergeCell ref="A39:E39"/>
    <mergeCell ref="E33:F33"/>
    <mergeCell ref="E34:F34"/>
    <mergeCell ref="E36:F36"/>
    <mergeCell ref="E37:F37"/>
    <mergeCell ref="B38:I38"/>
    <mergeCell ref="A37:C37"/>
    <mergeCell ref="A33:C33"/>
    <mergeCell ref="A34:C34"/>
    <mergeCell ref="A35:C35"/>
    <mergeCell ref="E35:F35"/>
    <mergeCell ref="A36:C36"/>
    <mergeCell ref="A47:M47"/>
    <mergeCell ref="B40:C41"/>
    <mergeCell ref="D40:E40"/>
    <mergeCell ref="H40:S40"/>
    <mergeCell ref="D41:E41"/>
    <mergeCell ref="F41:G41"/>
    <mergeCell ref="H41:I41"/>
    <mergeCell ref="J41:K41"/>
    <mergeCell ref="L41:M41"/>
    <mergeCell ref="N41:O41"/>
    <mergeCell ref="P41:Q41"/>
    <mergeCell ref="R41:S41"/>
    <mergeCell ref="A46:M46"/>
    <mergeCell ref="P46:W46"/>
    <mergeCell ref="P47:W47"/>
    <mergeCell ref="A4:K4"/>
    <mergeCell ref="A5:K5"/>
    <mergeCell ref="A6:K6"/>
    <mergeCell ref="E23:F23"/>
    <mergeCell ref="E12:F12"/>
    <mergeCell ref="E13:F13"/>
    <mergeCell ref="E14:F14"/>
    <mergeCell ref="E15:F15"/>
    <mergeCell ref="E16:F16"/>
    <mergeCell ref="A7:W7"/>
    <mergeCell ref="A8:W8"/>
    <mergeCell ref="A9:A11"/>
    <mergeCell ref="B9:B11"/>
    <mergeCell ref="T9:T11"/>
    <mergeCell ref="G9:P9"/>
    <mergeCell ref="Q9:Q11"/>
  </mergeCells>
  <phoneticPr fontId="59" type="noConversion"/>
  <pageMargins left="0.25" right="0.25" top="0.23" bottom="0.14000000000000001" header="0.16" footer="0.12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57"/>
  <sheetViews>
    <sheetView view="pageBreakPreview" topLeftCell="A54" zoomScaleNormal="70" zoomScaleSheetLayoutView="100" workbookViewId="0">
      <selection activeCell="M20" sqref="M20"/>
    </sheetView>
  </sheetViews>
  <sheetFormatPr defaultRowHeight="15" x14ac:dyDescent="0.25"/>
  <cols>
    <col min="1" max="1" width="5.28515625" customWidth="1"/>
    <col min="2" max="2" width="8" customWidth="1"/>
    <col min="3" max="3" width="11.85546875" customWidth="1"/>
    <col min="4" max="4" width="4.5703125" customWidth="1"/>
    <col min="5" max="5" width="11.85546875" customWidth="1"/>
    <col min="6" max="6" width="5.7109375" customWidth="1"/>
    <col min="7" max="10" width="5.28515625" customWidth="1"/>
    <col min="11" max="11" width="4.7109375" customWidth="1"/>
    <col min="12" max="16" width="5.28515625" customWidth="1"/>
    <col min="17" max="17" width="5.7109375" customWidth="1"/>
    <col min="18" max="18" width="6.7109375" customWidth="1"/>
    <col min="19" max="19" width="7" customWidth="1"/>
    <col min="20" max="23" width="6.7109375" customWidth="1"/>
  </cols>
  <sheetData>
    <row r="1" spans="1:23" ht="25.5" x14ac:dyDescent="0.25">
      <c r="A1" s="393" t="s">
        <v>13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</row>
    <row r="2" spans="1:23" ht="28.5" x14ac:dyDescent="0.25">
      <c r="A2" s="394" t="s">
        <v>19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</row>
    <row r="3" spans="1:23" ht="26.25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</row>
    <row r="4" spans="1:23" ht="23.25" x14ac:dyDescent="0.65">
      <c r="A4" s="244" t="s">
        <v>15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138"/>
      <c r="M4" s="7"/>
      <c r="N4" s="7"/>
      <c r="O4" s="7"/>
      <c r="P4" s="7"/>
      <c r="Q4" s="6"/>
      <c r="R4" s="5"/>
      <c r="S4" s="5"/>
      <c r="U4" s="395" t="s">
        <v>64</v>
      </c>
      <c r="V4" s="395"/>
      <c r="W4" s="395"/>
    </row>
    <row r="5" spans="1:23" ht="23.25" x14ac:dyDescent="0.65">
      <c r="A5" s="244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138"/>
      <c r="M5" s="7"/>
      <c r="N5" s="7"/>
      <c r="O5" s="7"/>
      <c r="P5" s="7"/>
      <c r="Q5" s="6"/>
      <c r="R5" s="5"/>
      <c r="S5" s="5"/>
    </row>
    <row r="6" spans="1:23" ht="23.25" x14ac:dyDescent="0.65">
      <c r="A6" s="244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138"/>
      <c r="M6" s="7"/>
      <c r="N6" s="7"/>
      <c r="O6" s="7"/>
      <c r="P6" s="7"/>
      <c r="Q6" s="6"/>
      <c r="R6" s="5"/>
      <c r="S6" s="5"/>
    </row>
    <row r="7" spans="1:23" ht="23.25" x14ac:dyDescent="0.25">
      <c r="A7" s="396" t="s">
        <v>529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</row>
    <row r="8" spans="1:23" ht="21" x14ac:dyDescent="0.25">
      <c r="A8" s="397" t="str">
        <f>កុំព្យទ័រ១!A8</f>
        <v>ឆ្នាំសិក្សា ២០២៥- ២០២៦</v>
      </c>
      <c r="B8" s="397"/>
      <c r="C8" s="397"/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</row>
    <row r="9" spans="1:23" ht="24.95" customHeight="1" x14ac:dyDescent="0.25">
      <c r="A9" s="398" t="s">
        <v>0</v>
      </c>
      <c r="B9" s="398" t="s">
        <v>25</v>
      </c>
      <c r="C9" s="398" t="s">
        <v>20</v>
      </c>
      <c r="D9" s="401" t="s">
        <v>21</v>
      </c>
      <c r="E9" s="472" t="s">
        <v>50</v>
      </c>
      <c r="F9" s="473"/>
      <c r="G9" s="402" t="s">
        <v>23</v>
      </c>
      <c r="H9" s="402"/>
      <c r="I9" s="402"/>
      <c r="J9" s="402"/>
      <c r="K9" s="402"/>
      <c r="L9" s="402"/>
      <c r="M9" s="402"/>
      <c r="N9" s="402"/>
      <c r="O9" s="402"/>
      <c r="P9" s="402"/>
      <c r="Q9" s="429" t="s">
        <v>3</v>
      </c>
      <c r="R9" s="443" t="s">
        <v>24</v>
      </c>
      <c r="S9" s="401" t="s">
        <v>8</v>
      </c>
      <c r="T9" s="434" t="s">
        <v>45</v>
      </c>
      <c r="U9" s="437" t="s">
        <v>47</v>
      </c>
      <c r="V9" s="438"/>
      <c r="W9" s="439"/>
    </row>
    <row r="10" spans="1:23" ht="21" customHeight="1" x14ac:dyDescent="0.25">
      <c r="A10" s="398"/>
      <c r="B10" s="398"/>
      <c r="C10" s="398"/>
      <c r="D10" s="427"/>
      <c r="E10" s="474"/>
      <c r="F10" s="475"/>
      <c r="G10" s="387" t="s">
        <v>53</v>
      </c>
      <c r="H10" s="387" t="s">
        <v>54</v>
      </c>
      <c r="I10" s="387" t="s">
        <v>97</v>
      </c>
      <c r="J10" s="387" t="s">
        <v>98</v>
      </c>
      <c r="K10" s="524" t="s">
        <v>99</v>
      </c>
      <c r="L10" s="387" t="s">
        <v>100</v>
      </c>
      <c r="M10" s="387" t="s">
        <v>101</v>
      </c>
      <c r="N10" s="387" t="s">
        <v>102</v>
      </c>
      <c r="O10" s="387" t="s">
        <v>104</v>
      </c>
      <c r="P10" s="387" t="s">
        <v>103</v>
      </c>
      <c r="Q10" s="430"/>
      <c r="R10" s="444"/>
      <c r="S10" s="427"/>
      <c r="T10" s="435"/>
      <c r="U10" s="440"/>
      <c r="V10" s="441"/>
      <c r="W10" s="442"/>
    </row>
    <row r="11" spans="1:23" ht="30.75" customHeight="1" x14ac:dyDescent="0.25">
      <c r="A11" s="398"/>
      <c r="B11" s="398"/>
      <c r="C11" s="398"/>
      <c r="D11" s="428"/>
      <c r="E11" s="522"/>
      <c r="F11" s="523"/>
      <c r="G11" s="468"/>
      <c r="H11" s="468"/>
      <c r="I11" s="468"/>
      <c r="J11" s="468"/>
      <c r="K11" s="513"/>
      <c r="L11" s="468"/>
      <c r="M11" s="468"/>
      <c r="N11" s="468"/>
      <c r="O11" s="468"/>
      <c r="P11" s="468"/>
      <c r="Q11" s="431"/>
      <c r="R11" s="445"/>
      <c r="S11" s="428"/>
      <c r="T11" s="436"/>
      <c r="U11" s="85" t="s">
        <v>48</v>
      </c>
      <c r="V11" s="85" t="s">
        <v>49</v>
      </c>
      <c r="W11" s="85" t="s">
        <v>3</v>
      </c>
    </row>
    <row r="12" spans="1:23" ht="20.45" customHeight="1" x14ac:dyDescent="0.25">
      <c r="A12" s="174">
        <v>1</v>
      </c>
      <c r="B12" s="103" t="s">
        <v>173</v>
      </c>
      <c r="C12" s="103" t="s">
        <v>174</v>
      </c>
      <c r="D12" s="103" t="s">
        <v>32</v>
      </c>
      <c r="E12" s="515" t="s">
        <v>175</v>
      </c>
      <c r="F12" s="516" t="s">
        <v>175</v>
      </c>
      <c r="G12" s="161">
        <v>42</v>
      </c>
      <c r="H12" s="161">
        <v>58</v>
      </c>
      <c r="I12" s="210">
        <v>18</v>
      </c>
      <c r="J12" s="210">
        <v>12</v>
      </c>
      <c r="K12" s="166">
        <v>0</v>
      </c>
      <c r="L12" s="162">
        <v>20</v>
      </c>
      <c r="M12" s="162">
        <v>80</v>
      </c>
      <c r="N12" s="162">
        <v>70</v>
      </c>
      <c r="O12" s="162">
        <v>73</v>
      </c>
      <c r="P12" s="161">
        <v>88</v>
      </c>
      <c r="Q12" s="142">
        <f t="shared" ref="Q12:Q35" si="0">SUM(G12:P12)-W12</f>
        <v>456</v>
      </c>
      <c r="R12" s="124">
        <f>Q12/14.5</f>
        <v>31.448275862068964</v>
      </c>
      <c r="S12" s="112" t="str">
        <f t="shared" ref="S12:S27" si="1">IF(R12&gt;=50*0.9,"A",IF(R12&gt;=50*0.8,"B",IF(R12&gt;=50*0.7,"C",IF(R12&gt;=50*0.6,"D",IF(R12&gt;=50*0.5,"E",IF(Q12=0,"NA","F"))))))</f>
        <v>D</v>
      </c>
      <c r="T12" s="127">
        <f t="shared" ref="T12:T35" si="2">RANK(R12,$R$12:$R$35)</f>
        <v>22</v>
      </c>
      <c r="U12" s="164">
        <v>3</v>
      </c>
      <c r="V12" s="164">
        <v>2</v>
      </c>
      <c r="W12" s="153">
        <f t="shared" ref="W12:W35" si="3">SUM(U12:V12)</f>
        <v>5</v>
      </c>
    </row>
    <row r="13" spans="1:23" s="91" customFormat="1" ht="20.45" customHeight="1" x14ac:dyDescent="0.25">
      <c r="A13" s="179">
        <v>2</v>
      </c>
      <c r="B13" s="104" t="s">
        <v>176</v>
      </c>
      <c r="C13" s="104" t="s">
        <v>177</v>
      </c>
      <c r="D13" s="104" t="s">
        <v>32</v>
      </c>
      <c r="E13" s="517" t="s">
        <v>178</v>
      </c>
      <c r="F13" s="518" t="s">
        <v>178</v>
      </c>
      <c r="G13" s="161">
        <v>49</v>
      </c>
      <c r="H13" s="161">
        <v>65</v>
      </c>
      <c r="I13" s="210">
        <v>36</v>
      </c>
      <c r="J13" s="210">
        <v>25</v>
      </c>
      <c r="K13" s="166">
        <v>0</v>
      </c>
      <c r="L13" s="162">
        <v>20</v>
      </c>
      <c r="M13" s="162">
        <v>92</v>
      </c>
      <c r="N13" s="162">
        <v>100</v>
      </c>
      <c r="O13" s="162">
        <v>97</v>
      </c>
      <c r="P13" s="161">
        <v>119</v>
      </c>
      <c r="Q13" s="141">
        <f t="shared" si="0"/>
        <v>602</v>
      </c>
      <c r="R13" s="128">
        <f t="shared" ref="R13:R30" si="4">Q13/14.5</f>
        <v>41.517241379310342</v>
      </c>
      <c r="S13" s="113" t="str">
        <f t="shared" si="1"/>
        <v>B</v>
      </c>
      <c r="T13" s="130">
        <f t="shared" si="2"/>
        <v>3</v>
      </c>
      <c r="U13" s="164">
        <v>1</v>
      </c>
      <c r="V13" s="164">
        <v>0</v>
      </c>
      <c r="W13" s="153">
        <f t="shared" si="3"/>
        <v>1</v>
      </c>
    </row>
    <row r="14" spans="1:23" ht="20.45" customHeight="1" x14ac:dyDescent="0.25">
      <c r="A14" s="174">
        <v>3</v>
      </c>
      <c r="B14" s="103" t="s">
        <v>105</v>
      </c>
      <c r="C14" s="103" t="s">
        <v>179</v>
      </c>
      <c r="D14" s="103" t="s">
        <v>32</v>
      </c>
      <c r="E14" s="515" t="s">
        <v>180</v>
      </c>
      <c r="F14" s="516" t="s">
        <v>180</v>
      </c>
      <c r="G14" s="161">
        <v>49</v>
      </c>
      <c r="H14" s="161">
        <v>50</v>
      </c>
      <c r="I14" s="210">
        <v>31</v>
      </c>
      <c r="J14" s="210">
        <v>12</v>
      </c>
      <c r="K14" s="166">
        <v>0</v>
      </c>
      <c r="L14" s="162">
        <v>20</v>
      </c>
      <c r="M14" s="162">
        <v>75</v>
      </c>
      <c r="N14" s="162">
        <v>90</v>
      </c>
      <c r="O14" s="162">
        <v>88</v>
      </c>
      <c r="P14" s="161">
        <v>103</v>
      </c>
      <c r="Q14" s="142">
        <f t="shared" si="0"/>
        <v>513</v>
      </c>
      <c r="R14" s="124">
        <f t="shared" si="4"/>
        <v>35.379310344827587</v>
      </c>
      <c r="S14" s="112" t="str">
        <f t="shared" si="1"/>
        <v>C</v>
      </c>
      <c r="T14" s="127">
        <f t="shared" si="2"/>
        <v>18</v>
      </c>
      <c r="U14" s="164">
        <v>5</v>
      </c>
      <c r="V14" s="164">
        <v>0</v>
      </c>
      <c r="W14" s="153">
        <f t="shared" si="3"/>
        <v>5</v>
      </c>
    </row>
    <row r="15" spans="1:23" ht="20.45" customHeight="1" x14ac:dyDescent="0.25">
      <c r="A15" s="179">
        <v>4</v>
      </c>
      <c r="B15" s="103" t="s">
        <v>181</v>
      </c>
      <c r="C15" s="103" t="s">
        <v>182</v>
      </c>
      <c r="D15" s="103" t="s">
        <v>32</v>
      </c>
      <c r="E15" s="515" t="s">
        <v>183</v>
      </c>
      <c r="F15" s="516" t="s">
        <v>183</v>
      </c>
      <c r="G15" s="161">
        <v>53</v>
      </c>
      <c r="H15" s="161">
        <v>65</v>
      </c>
      <c r="I15" s="210">
        <v>44</v>
      </c>
      <c r="J15" s="210">
        <v>24</v>
      </c>
      <c r="K15" s="166">
        <v>0</v>
      </c>
      <c r="L15" s="162">
        <v>20</v>
      </c>
      <c r="M15" s="162">
        <v>92</v>
      </c>
      <c r="N15" s="162">
        <v>95</v>
      </c>
      <c r="O15" s="162">
        <v>98</v>
      </c>
      <c r="P15" s="161">
        <v>113</v>
      </c>
      <c r="Q15" s="142">
        <f t="shared" si="0"/>
        <v>601</v>
      </c>
      <c r="R15" s="124">
        <f t="shared" si="4"/>
        <v>41.448275862068968</v>
      </c>
      <c r="S15" s="112" t="str">
        <f t="shared" si="1"/>
        <v>B</v>
      </c>
      <c r="T15" s="127">
        <f t="shared" si="2"/>
        <v>5</v>
      </c>
      <c r="U15" s="164">
        <v>3</v>
      </c>
      <c r="V15" s="164">
        <v>0</v>
      </c>
      <c r="W15" s="153">
        <f t="shared" si="3"/>
        <v>3</v>
      </c>
    </row>
    <row r="16" spans="1:23" ht="20.45" customHeight="1" x14ac:dyDescent="0.25">
      <c r="A16" s="174">
        <v>5</v>
      </c>
      <c r="B16" s="103" t="s">
        <v>184</v>
      </c>
      <c r="C16" s="103" t="s">
        <v>185</v>
      </c>
      <c r="D16" s="103" t="s">
        <v>32</v>
      </c>
      <c r="E16" s="519" t="s">
        <v>186</v>
      </c>
      <c r="F16" s="520" t="s">
        <v>186</v>
      </c>
      <c r="G16" s="161">
        <v>50</v>
      </c>
      <c r="H16" s="161">
        <v>50</v>
      </c>
      <c r="I16" s="210">
        <v>38</v>
      </c>
      <c r="J16" s="210">
        <v>37</v>
      </c>
      <c r="K16" s="166">
        <v>0</v>
      </c>
      <c r="L16" s="162">
        <v>20</v>
      </c>
      <c r="M16" s="162">
        <v>93</v>
      </c>
      <c r="N16" s="162">
        <v>90</v>
      </c>
      <c r="O16" s="162">
        <v>94</v>
      </c>
      <c r="P16" s="161">
        <v>113</v>
      </c>
      <c r="Q16" s="142">
        <f t="shared" si="0"/>
        <v>583</v>
      </c>
      <c r="R16" s="124">
        <f t="shared" si="4"/>
        <v>40.206896551724135</v>
      </c>
      <c r="S16" s="112" t="str">
        <f t="shared" si="1"/>
        <v>B</v>
      </c>
      <c r="T16" s="127">
        <f t="shared" si="2"/>
        <v>9</v>
      </c>
      <c r="U16" s="164">
        <v>2</v>
      </c>
      <c r="V16" s="164">
        <v>0</v>
      </c>
      <c r="W16" s="153">
        <f t="shared" si="3"/>
        <v>2</v>
      </c>
    </row>
    <row r="17" spans="1:23" ht="20.45" customHeight="1" x14ac:dyDescent="0.25">
      <c r="A17" s="179">
        <v>6</v>
      </c>
      <c r="B17" s="103" t="s">
        <v>188</v>
      </c>
      <c r="C17" s="103" t="s">
        <v>189</v>
      </c>
      <c r="D17" s="103" t="s">
        <v>32</v>
      </c>
      <c r="E17" s="515" t="s">
        <v>190</v>
      </c>
      <c r="F17" s="516" t="s">
        <v>190</v>
      </c>
      <c r="G17" s="161">
        <v>40</v>
      </c>
      <c r="H17" s="161">
        <v>62</v>
      </c>
      <c r="I17" s="210">
        <v>24</v>
      </c>
      <c r="J17" s="210">
        <v>12</v>
      </c>
      <c r="K17" s="166">
        <v>0</v>
      </c>
      <c r="L17" s="162">
        <v>20</v>
      </c>
      <c r="M17" s="162">
        <v>85</v>
      </c>
      <c r="N17" s="162">
        <v>95</v>
      </c>
      <c r="O17" s="162">
        <v>91</v>
      </c>
      <c r="P17" s="161">
        <v>108</v>
      </c>
      <c r="Q17" s="142">
        <f t="shared" si="0"/>
        <v>536</v>
      </c>
      <c r="R17" s="124">
        <f t="shared" si="4"/>
        <v>36.96551724137931</v>
      </c>
      <c r="S17" s="112" t="str">
        <f t="shared" si="1"/>
        <v>C</v>
      </c>
      <c r="T17" s="127">
        <f t="shared" si="2"/>
        <v>16</v>
      </c>
      <c r="U17" s="164">
        <v>1</v>
      </c>
      <c r="V17" s="164">
        <v>0</v>
      </c>
      <c r="W17" s="153">
        <f t="shared" si="3"/>
        <v>1</v>
      </c>
    </row>
    <row r="18" spans="1:23" s="91" customFormat="1" ht="20.45" customHeight="1" x14ac:dyDescent="0.25">
      <c r="A18" s="174">
        <v>7</v>
      </c>
      <c r="B18" s="103" t="s">
        <v>191</v>
      </c>
      <c r="C18" s="103" t="s">
        <v>192</v>
      </c>
      <c r="D18" s="103" t="s">
        <v>31</v>
      </c>
      <c r="E18" s="515" t="s">
        <v>193</v>
      </c>
      <c r="F18" s="516" t="s">
        <v>193</v>
      </c>
      <c r="G18" s="161">
        <v>40</v>
      </c>
      <c r="H18" s="161">
        <v>65</v>
      </c>
      <c r="I18" s="210">
        <v>28</v>
      </c>
      <c r="J18" s="210">
        <v>12</v>
      </c>
      <c r="K18" s="166">
        <v>0</v>
      </c>
      <c r="L18" s="162">
        <v>20</v>
      </c>
      <c r="M18" s="162">
        <v>93</v>
      </c>
      <c r="N18" s="162">
        <v>100</v>
      </c>
      <c r="O18" s="162">
        <v>91</v>
      </c>
      <c r="P18" s="161">
        <v>113</v>
      </c>
      <c r="Q18" s="141">
        <f t="shared" si="0"/>
        <v>557</v>
      </c>
      <c r="R18" s="128">
        <f t="shared" si="4"/>
        <v>38.413793103448278</v>
      </c>
      <c r="S18" s="113" t="str">
        <f t="shared" si="1"/>
        <v>C</v>
      </c>
      <c r="T18" s="130">
        <f t="shared" si="2"/>
        <v>11</v>
      </c>
      <c r="U18" s="164">
        <v>3</v>
      </c>
      <c r="V18" s="164">
        <v>2</v>
      </c>
      <c r="W18" s="153">
        <f t="shared" si="3"/>
        <v>5</v>
      </c>
    </row>
    <row r="19" spans="1:23" ht="20.45" customHeight="1" x14ac:dyDescent="0.25">
      <c r="A19" s="179">
        <v>8</v>
      </c>
      <c r="B19" s="103" t="s">
        <v>194</v>
      </c>
      <c r="C19" s="103" t="s">
        <v>195</v>
      </c>
      <c r="D19" s="103" t="s">
        <v>32</v>
      </c>
      <c r="E19" s="515" t="s">
        <v>196</v>
      </c>
      <c r="F19" s="516" t="s">
        <v>196</v>
      </c>
      <c r="G19" s="161">
        <v>42</v>
      </c>
      <c r="H19" s="161">
        <v>62</v>
      </c>
      <c r="I19" s="210">
        <v>20</v>
      </c>
      <c r="J19" s="210">
        <v>12</v>
      </c>
      <c r="K19" s="166">
        <v>0</v>
      </c>
      <c r="L19" s="162">
        <v>20</v>
      </c>
      <c r="M19" s="162">
        <v>85</v>
      </c>
      <c r="N19" s="162">
        <v>50</v>
      </c>
      <c r="O19" s="162">
        <v>73</v>
      </c>
      <c r="P19" s="161">
        <v>78</v>
      </c>
      <c r="Q19" s="142">
        <f t="shared" si="0"/>
        <v>438</v>
      </c>
      <c r="R19" s="124">
        <f t="shared" si="4"/>
        <v>30.206896551724139</v>
      </c>
      <c r="S19" s="112" t="str">
        <f t="shared" si="1"/>
        <v>D</v>
      </c>
      <c r="T19" s="127">
        <f t="shared" si="2"/>
        <v>23</v>
      </c>
      <c r="U19" s="164">
        <v>1</v>
      </c>
      <c r="V19" s="164">
        <v>3</v>
      </c>
      <c r="W19" s="153">
        <f t="shared" si="3"/>
        <v>4</v>
      </c>
    </row>
    <row r="20" spans="1:23" ht="20.45" customHeight="1" x14ac:dyDescent="0.25">
      <c r="A20" s="174">
        <v>9</v>
      </c>
      <c r="B20" s="103" t="s">
        <v>112</v>
      </c>
      <c r="C20" s="103" t="s">
        <v>197</v>
      </c>
      <c r="D20" s="103" t="s">
        <v>32</v>
      </c>
      <c r="E20" s="515" t="s">
        <v>198</v>
      </c>
      <c r="F20" s="516" t="s">
        <v>198</v>
      </c>
      <c r="G20" s="161">
        <v>58</v>
      </c>
      <c r="H20" s="161">
        <v>65</v>
      </c>
      <c r="I20" s="210">
        <v>36</v>
      </c>
      <c r="J20" s="210">
        <v>16</v>
      </c>
      <c r="K20" s="166">
        <v>0</v>
      </c>
      <c r="L20" s="162">
        <v>20</v>
      </c>
      <c r="M20" s="162">
        <v>84</v>
      </c>
      <c r="N20" s="162">
        <v>100</v>
      </c>
      <c r="O20" s="162">
        <v>94</v>
      </c>
      <c r="P20" s="161">
        <v>115</v>
      </c>
      <c r="Q20" s="142">
        <f t="shared" si="0"/>
        <v>588</v>
      </c>
      <c r="R20" s="124">
        <f t="shared" si="4"/>
        <v>40.551724137931032</v>
      </c>
      <c r="S20" s="112" t="str">
        <f t="shared" si="1"/>
        <v>B</v>
      </c>
      <c r="T20" s="127">
        <f t="shared" si="2"/>
        <v>7</v>
      </c>
      <c r="U20" s="164">
        <v>0</v>
      </c>
      <c r="V20" s="164">
        <v>0</v>
      </c>
      <c r="W20" s="153">
        <f t="shared" si="3"/>
        <v>0</v>
      </c>
    </row>
    <row r="21" spans="1:23" s="91" customFormat="1" ht="20.45" customHeight="1" x14ac:dyDescent="0.25">
      <c r="A21" s="179">
        <v>10</v>
      </c>
      <c r="B21" s="103" t="s">
        <v>199</v>
      </c>
      <c r="C21" s="103" t="s">
        <v>200</v>
      </c>
      <c r="D21" s="103" t="s">
        <v>31</v>
      </c>
      <c r="E21" s="515" t="s">
        <v>201</v>
      </c>
      <c r="F21" s="516" t="s">
        <v>201</v>
      </c>
      <c r="G21" s="161">
        <v>54</v>
      </c>
      <c r="H21" s="161">
        <v>65</v>
      </c>
      <c r="I21" s="210">
        <v>20</v>
      </c>
      <c r="J21" s="210">
        <v>10</v>
      </c>
      <c r="K21" s="166">
        <v>0</v>
      </c>
      <c r="L21" s="162">
        <v>20</v>
      </c>
      <c r="M21" s="162">
        <v>80</v>
      </c>
      <c r="N21" s="162">
        <v>80</v>
      </c>
      <c r="O21" s="162">
        <v>78</v>
      </c>
      <c r="P21" s="161">
        <v>90</v>
      </c>
      <c r="Q21" s="142">
        <f t="shared" si="0"/>
        <v>493</v>
      </c>
      <c r="R21" s="124">
        <f t="shared" si="4"/>
        <v>34</v>
      </c>
      <c r="S21" s="112" t="str">
        <f t="shared" si="1"/>
        <v>D</v>
      </c>
      <c r="T21" s="127">
        <f t="shared" si="2"/>
        <v>19</v>
      </c>
      <c r="U21" s="164">
        <v>1</v>
      </c>
      <c r="V21" s="164">
        <v>3</v>
      </c>
      <c r="W21" s="153">
        <f t="shared" si="3"/>
        <v>4</v>
      </c>
    </row>
    <row r="22" spans="1:23" ht="20.45" customHeight="1" x14ac:dyDescent="0.25">
      <c r="A22" s="174">
        <v>11</v>
      </c>
      <c r="B22" s="103" t="s">
        <v>202</v>
      </c>
      <c r="C22" s="103" t="s">
        <v>203</v>
      </c>
      <c r="D22" s="103" t="s">
        <v>31</v>
      </c>
      <c r="E22" s="515" t="s">
        <v>204</v>
      </c>
      <c r="F22" s="516" t="s">
        <v>204</v>
      </c>
      <c r="G22" s="161">
        <v>40</v>
      </c>
      <c r="H22" s="161">
        <v>55</v>
      </c>
      <c r="I22" s="210">
        <v>20</v>
      </c>
      <c r="J22" s="210">
        <v>14</v>
      </c>
      <c r="K22" s="166">
        <v>0</v>
      </c>
      <c r="L22" s="162">
        <v>20</v>
      </c>
      <c r="M22" s="162">
        <v>85</v>
      </c>
      <c r="N22" s="162">
        <v>100</v>
      </c>
      <c r="O22" s="162">
        <v>95</v>
      </c>
      <c r="P22" s="161">
        <v>118</v>
      </c>
      <c r="Q22" s="141">
        <f t="shared" si="0"/>
        <v>546</v>
      </c>
      <c r="R22" s="128">
        <f t="shared" si="4"/>
        <v>37.655172413793103</v>
      </c>
      <c r="S22" s="113" t="str">
        <f t="shared" si="1"/>
        <v>C</v>
      </c>
      <c r="T22" s="130">
        <f t="shared" si="2"/>
        <v>13</v>
      </c>
      <c r="U22" s="164">
        <v>1</v>
      </c>
      <c r="V22" s="164">
        <v>0</v>
      </c>
      <c r="W22" s="153">
        <f t="shared" si="3"/>
        <v>1</v>
      </c>
    </row>
    <row r="23" spans="1:23" ht="20.45" customHeight="1" x14ac:dyDescent="0.25">
      <c r="A23" s="179">
        <v>12</v>
      </c>
      <c r="B23" s="103" t="s">
        <v>205</v>
      </c>
      <c r="C23" s="103" t="s">
        <v>206</v>
      </c>
      <c r="D23" s="103" t="s">
        <v>32</v>
      </c>
      <c r="E23" s="515" t="s">
        <v>120</v>
      </c>
      <c r="F23" s="516" t="s">
        <v>120</v>
      </c>
      <c r="G23" s="161">
        <v>47</v>
      </c>
      <c r="H23" s="161">
        <v>62</v>
      </c>
      <c r="I23" s="210">
        <v>22</v>
      </c>
      <c r="J23" s="210">
        <v>12</v>
      </c>
      <c r="K23" s="166">
        <v>0</v>
      </c>
      <c r="L23" s="162">
        <v>20</v>
      </c>
      <c r="M23" s="162">
        <v>84</v>
      </c>
      <c r="N23" s="162">
        <v>90</v>
      </c>
      <c r="O23" s="162">
        <v>95</v>
      </c>
      <c r="P23" s="161">
        <v>108</v>
      </c>
      <c r="Q23" s="142">
        <f t="shared" si="0"/>
        <v>536</v>
      </c>
      <c r="R23" s="124">
        <f t="shared" si="4"/>
        <v>36.96551724137931</v>
      </c>
      <c r="S23" s="112" t="str">
        <f t="shared" si="1"/>
        <v>C</v>
      </c>
      <c r="T23" s="127">
        <f t="shared" si="2"/>
        <v>16</v>
      </c>
      <c r="U23" s="164">
        <v>1</v>
      </c>
      <c r="V23" s="164">
        <v>3</v>
      </c>
      <c r="W23" s="153">
        <f t="shared" si="3"/>
        <v>4</v>
      </c>
    </row>
    <row r="24" spans="1:23" ht="20.45" customHeight="1" x14ac:dyDescent="0.25">
      <c r="A24" s="174">
        <v>13</v>
      </c>
      <c r="B24" s="104" t="s">
        <v>207</v>
      </c>
      <c r="C24" s="104" t="s">
        <v>208</v>
      </c>
      <c r="D24" s="104" t="s">
        <v>31</v>
      </c>
      <c r="E24" s="517" t="s">
        <v>209</v>
      </c>
      <c r="F24" s="518" t="s">
        <v>209</v>
      </c>
      <c r="G24" s="161">
        <v>54</v>
      </c>
      <c r="H24" s="161">
        <v>75</v>
      </c>
      <c r="I24" s="210">
        <v>45</v>
      </c>
      <c r="J24" s="210">
        <v>46</v>
      </c>
      <c r="K24" s="166">
        <v>0</v>
      </c>
      <c r="L24" s="162">
        <v>20</v>
      </c>
      <c r="M24" s="162">
        <v>95</v>
      </c>
      <c r="N24" s="162">
        <v>100</v>
      </c>
      <c r="O24" s="162">
        <v>98</v>
      </c>
      <c r="P24" s="161">
        <v>122</v>
      </c>
      <c r="Q24" s="142">
        <f t="shared" si="0"/>
        <v>655</v>
      </c>
      <c r="R24" s="124">
        <f t="shared" si="4"/>
        <v>45.172413793103445</v>
      </c>
      <c r="S24" s="112" t="str">
        <f t="shared" si="1"/>
        <v>A</v>
      </c>
      <c r="T24" s="127">
        <f t="shared" si="2"/>
        <v>1</v>
      </c>
      <c r="U24" s="164">
        <v>0</v>
      </c>
      <c r="V24" s="164">
        <v>0</v>
      </c>
      <c r="W24" s="153">
        <f t="shared" si="3"/>
        <v>0</v>
      </c>
    </row>
    <row r="25" spans="1:23" ht="20.45" customHeight="1" x14ac:dyDescent="0.25">
      <c r="A25" s="227">
        <v>14</v>
      </c>
      <c r="B25" s="103" t="s">
        <v>210</v>
      </c>
      <c r="C25" s="103" t="s">
        <v>115</v>
      </c>
      <c r="D25" s="103" t="s">
        <v>31</v>
      </c>
      <c r="E25" s="515" t="s">
        <v>211</v>
      </c>
      <c r="F25" s="516" t="s">
        <v>211</v>
      </c>
      <c r="G25" s="161">
        <v>44</v>
      </c>
      <c r="H25" s="161">
        <v>54</v>
      </c>
      <c r="I25" s="210">
        <v>31</v>
      </c>
      <c r="J25" s="210">
        <v>28</v>
      </c>
      <c r="K25" s="166">
        <v>0</v>
      </c>
      <c r="L25" s="162">
        <v>20</v>
      </c>
      <c r="M25" s="162">
        <v>92</v>
      </c>
      <c r="N25" s="162">
        <v>100</v>
      </c>
      <c r="O25" s="162">
        <v>98</v>
      </c>
      <c r="P25" s="161">
        <v>118</v>
      </c>
      <c r="Q25" s="142">
        <f t="shared" si="0"/>
        <v>585</v>
      </c>
      <c r="R25" s="131">
        <f t="shared" si="4"/>
        <v>40.344827586206897</v>
      </c>
      <c r="S25" s="133" t="str">
        <f t="shared" si="1"/>
        <v>B</v>
      </c>
      <c r="T25" s="127">
        <f t="shared" si="2"/>
        <v>8</v>
      </c>
      <c r="U25" s="164">
        <v>0</v>
      </c>
      <c r="V25" s="164">
        <v>0</v>
      </c>
      <c r="W25" s="153">
        <f t="shared" si="3"/>
        <v>0</v>
      </c>
    </row>
    <row r="26" spans="1:23" ht="20.45" customHeight="1" x14ac:dyDescent="0.25">
      <c r="A26" s="228">
        <v>15</v>
      </c>
      <c r="B26" s="103" t="s">
        <v>212</v>
      </c>
      <c r="C26" s="103" t="s">
        <v>213</v>
      </c>
      <c r="D26" s="103" t="s">
        <v>32</v>
      </c>
      <c r="E26" s="515" t="s">
        <v>214</v>
      </c>
      <c r="F26" s="516" t="s">
        <v>214</v>
      </c>
      <c r="G26" s="161">
        <v>42</v>
      </c>
      <c r="H26" s="161">
        <v>62</v>
      </c>
      <c r="I26" s="210">
        <v>26</v>
      </c>
      <c r="J26" s="210">
        <v>14</v>
      </c>
      <c r="K26" s="166">
        <v>0</v>
      </c>
      <c r="L26" s="162">
        <v>20</v>
      </c>
      <c r="M26" s="162">
        <v>77</v>
      </c>
      <c r="N26" s="162">
        <v>50</v>
      </c>
      <c r="O26" s="162">
        <v>63</v>
      </c>
      <c r="P26" s="161">
        <v>75</v>
      </c>
      <c r="Q26" s="141">
        <f t="shared" si="0"/>
        <v>428</v>
      </c>
      <c r="R26" s="145">
        <f t="shared" si="4"/>
        <v>29.517241379310345</v>
      </c>
      <c r="S26" s="149" t="str">
        <f t="shared" si="1"/>
        <v>E</v>
      </c>
      <c r="T26" s="130">
        <f t="shared" si="2"/>
        <v>24</v>
      </c>
      <c r="U26" s="164">
        <v>0</v>
      </c>
      <c r="V26" s="164">
        <v>1</v>
      </c>
      <c r="W26" s="153">
        <f t="shared" si="3"/>
        <v>1</v>
      </c>
    </row>
    <row r="27" spans="1:23" ht="20.45" customHeight="1" x14ac:dyDescent="0.25">
      <c r="A27" s="226">
        <v>16</v>
      </c>
      <c r="B27" s="103" t="s">
        <v>215</v>
      </c>
      <c r="C27" s="103" t="s">
        <v>216</v>
      </c>
      <c r="D27" s="103" t="s">
        <v>32</v>
      </c>
      <c r="E27" s="519" t="s">
        <v>217</v>
      </c>
      <c r="F27" s="520" t="s">
        <v>217</v>
      </c>
      <c r="G27" s="161">
        <v>50</v>
      </c>
      <c r="H27" s="161">
        <v>54</v>
      </c>
      <c r="I27" s="210">
        <v>42</v>
      </c>
      <c r="J27" s="210">
        <v>29</v>
      </c>
      <c r="K27" s="166">
        <v>0</v>
      </c>
      <c r="L27" s="162">
        <v>20</v>
      </c>
      <c r="M27" s="162">
        <v>92</v>
      </c>
      <c r="N27" s="162">
        <v>100</v>
      </c>
      <c r="O27" s="162">
        <v>97</v>
      </c>
      <c r="P27" s="161">
        <v>120</v>
      </c>
      <c r="Q27" s="142">
        <f t="shared" si="0"/>
        <v>603</v>
      </c>
      <c r="R27" s="131">
        <f t="shared" si="4"/>
        <v>41.586206896551722</v>
      </c>
      <c r="S27" s="133" t="str">
        <f t="shared" si="1"/>
        <v>B</v>
      </c>
      <c r="T27" s="127">
        <f t="shared" si="2"/>
        <v>2</v>
      </c>
      <c r="U27" s="164">
        <v>1</v>
      </c>
      <c r="V27" s="164">
        <v>0</v>
      </c>
      <c r="W27" s="153">
        <f t="shared" si="3"/>
        <v>1</v>
      </c>
    </row>
    <row r="28" spans="1:23" ht="20.45" customHeight="1" x14ac:dyDescent="0.25">
      <c r="A28" s="174">
        <v>17</v>
      </c>
      <c r="B28" s="103" t="s">
        <v>218</v>
      </c>
      <c r="C28" s="103" t="s">
        <v>219</v>
      </c>
      <c r="D28" s="103" t="s">
        <v>32</v>
      </c>
      <c r="E28" s="515" t="s">
        <v>220</v>
      </c>
      <c r="F28" s="516" t="s">
        <v>220</v>
      </c>
      <c r="G28" s="161">
        <v>42</v>
      </c>
      <c r="H28" s="161">
        <v>62</v>
      </c>
      <c r="I28" s="210">
        <v>15</v>
      </c>
      <c r="J28" s="210">
        <v>10</v>
      </c>
      <c r="K28" s="166">
        <v>0</v>
      </c>
      <c r="L28" s="162">
        <v>20</v>
      </c>
      <c r="M28" s="162">
        <v>84</v>
      </c>
      <c r="N28" s="162">
        <v>70</v>
      </c>
      <c r="O28" s="162">
        <v>84</v>
      </c>
      <c r="P28" s="161">
        <v>85</v>
      </c>
      <c r="Q28" s="141">
        <f t="shared" si="0"/>
        <v>468</v>
      </c>
      <c r="R28" s="145">
        <f t="shared" si="4"/>
        <v>32.275862068965516</v>
      </c>
      <c r="S28" s="149" t="str">
        <f t="shared" ref="S28:S31" si="5">IF(R28&gt;=50*0.9,"A",IF(R28&gt;=50*0.8,"B",IF(R28&gt;=50*0.7,"C",IF(R28&gt;=50*0.6,"D",IF(R28&gt;=50*0.5,"E",IF(Q28=0,"NA","F"))))))</f>
        <v>D</v>
      </c>
      <c r="T28" s="130">
        <f t="shared" si="2"/>
        <v>21</v>
      </c>
      <c r="U28" s="164">
        <v>2</v>
      </c>
      <c r="V28" s="164">
        <v>2</v>
      </c>
      <c r="W28" s="153">
        <f t="shared" si="3"/>
        <v>4</v>
      </c>
    </row>
    <row r="29" spans="1:23" ht="20.45" customHeight="1" x14ac:dyDescent="0.25">
      <c r="A29" s="179">
        <v>18</v>
      </c>
      <c r="B29" s="103" t="s">
        <v>125</v>
      </c>
      <c r="C29" s="103" t="s">
        <v>221</v>
      </c>
      <c r="D29" s="103" t="s">
        <v>32</v>
      </c>
      <c r="E29" s="515" t="s">
        <v>222</v>
      </c>
      <c r="F29" s="516" t="s">
        <v>222</v>
      </c>
      <c r="G29" s="161">
        <v>30</v>
      </c>
      <c r="H29" s="161">
        <v>50</v>
      </c>
      <c r="I29" s="210">
        <v>30</v>
      </c>
      <c r="J29" s="210">
        <v>23</v>
      </c>
      <c r="K29" s="166">
        <v>0</v>
      </c>
      <c r="L29" s="162">
        <v>20</v>
      </c>
      <c r="M29" s="162">
        <v>85</v>
      </c>
      <c r="N29" s="162">
        <v>100</v>
      </c>
      <c r="O29" s="162">
        <v>95</v>
      </c>
      <c r="P29" s="161">
        <v>110</v>
      </c>
      <c r="Q29" s="142">
        <f t="shared" si="0"/>
        <v>541</v>
      </c>
      <c r="R29" s="124">
        <f t="shared" si="4"/>
        <v>37.310344827586206</v>
      </c>
      <c r="S29" s="112" t="str">
        <f t="shared" si="5"/>
        <v>C</v>
      </c>
      <c r="T29" s="127">
        <f t="shared" si="2"/>
        <v>15</v>
      </c>
      <c r="U29" s="164">
        <v>2</v>
      </c>
      <c r="V29" s="164">
        <v>0</v>
      </c>
      <c r="W29" s="153">
        <f t="shared" si="3"/>
        <v>2</v>
      </c>
    </row>
    <row r="30" spans="1:23" ht="20.45" customHeight="1" x14ac:dyDescent="0.25">
      <c r="A30" s="174">
        <v>19</v>
      </c>
      <c r="B30" s="104" t="s">
        <v>223</v>
      </c>
      <c r="C30" s="104" t="s">
        <v>224</v>
      </c>
      <c r="D30" s="104" t="s">
        <v>31</v>
      </c>
      <c r="E30" s="517" t="s">
        <v>225</v>
      </c>
      <c r="F30" s="518" t="s">
        <v>225</v>
      </c>
      <c r="G30" s="161">
        <v>47</v>
      </c>
      <c r="H30" s="161">
        <v>62</v>
      </c>
      <c r="I30" s="210">
        <v>15</v>
      </c>
      <c r="J30" s="210">
        <v>12</v>
      </c>
      <c r="K30" s="166">
        <v>0</v>
      </c>
      <c r="L30" s="162">
        <v>20</v>
      </c>
      <c r="M30" s="162">
        <v>91</v>
      </c>
      <c r="N30" s="162">
        <v>100</v>
      </c>
      <c r="O30" s="162">
        <v>93</v>
      </c>
      <c r="P30" s="161">
        <v>113</v>
      </c>
      <c r="Q30" s="142">
        <f t="shared" si="0"/>
        <v>550</v>
      </c>
      <c r="R30" s="124">
        <f t="shared" si="4"/>
        <v>37.931034482758619</v>
      </c>
      <c r="S30" s="112" t="str">
        <f t="shared" si="5"/>
        <v>C</v>
      </c>
      <c r="T30" s="127">
        <f t="shared" si="2"/>
        <v>12</v>
      </c>
      <c r="U30" s="164">
        <v>2</v>
      </c>
      <c r="V30" s="164">
        <v>1</v>
      </c>
      <c r="W30" s="153">
        <f t="shared" si="3"/>
        <v>3</v>
      </c>
    </row>
    <row r="31" spans="1:23" ht="20.45" customHeight="1" x14ac:dyDescent="0.25">
      <c r="A31" s="179">
        <v>20</v>
      </c>
      <c r="B31" s="103" t="s">
        <v>226</v>
      </c>
      <c r="C31" s="103" t="s">
        <v>227</v>
      </c>
      <c r="D31" s="103" t="s">
        <v>32</v>
      </c>
      <c r="E31" s="515" t="s">
        <v>228</v>
      </c>
      <c r="F31" s="516" t="s">
        <v>228</v>
      </c>
      <c r="G31" s="161">
        <v>52</v>
      </c>
      <c r="H31" s="161">
        <v>65</v>
      </c>
      <c r="I31" s="210">
        <v>37</v>
      </c>
      <c r="J31" s="210">
        <v>28</v>
      </c>
      <c r="K31" s="166">
        <v>0</v>
      </c>
      <c r="L31" s="162">
        <v>20</v>
      </c>
      <c r="M31" s="162">
        <v>85</v>
      </c>
      <c r="N31" s="162">
        <v>100</v>
      </c>
      <c r="O31" s="162">
        <v>97</v>
      </c>
      <c r="P31" s="161">
        <v>113</v>
      </c>
      <c r="Q31" s="142">
        <f t="shared" si="0"/>
        <v>593</v>
      </c>
      <c r="R31" s="124">
        <f>Q31/14.5</f>
        <v>40.896551724137929</v>
      </c>
      <c r="S31" s="112" t="str">
        <f t="shared" si="5"/>
        <v>B</v>
      </c>
      <c r="T31" s="127">
        <f t="shared" si="2"/>
        <v>6</v>
      </c>
      <c r="U31" s="164">
        <v>4</v>
      </c>
      <c r="V31" s="164">
        <v>0</v>
      </c>
      <c r="W31" s="153">
        <f t="shared" si="3"/>
        <v>4</v>
      </c>
    </row>
    <row r="32" spans="1:23" ht="20.45" customHeight="1" x14ac:dyDescent="0.25">
      <c r="A32" s="174">
        <v>21</v>
      </c>
      <c r="B32" s="103" t="s">
        <v>226</v>
      </c>
      <c r="C32" s="103" t="s">
        <v>229</v>
      </c>
      <c r="D32" s="103" t="s">
        <v>31</v>
      </c>
      <c r="E32" s="515" t="s">
        <v>230</v>
      </c>
      <c r="F32" s="516" t="s">
        <v>230</v>
      </c>
      <c r="G32" s="161">
        <v>39</v>
      </c>
      <c r="H32" s="161">
        <v>65</v>
      </c>
      <c r="I32" s="210">
        <v>16</v>
      </c>
      <c r="J32" s="210">
        <v>10</v>
      </c>
      <c r="K32" s="166">
        <v>0</v>
      </c>
      <c r="L32" s="162">
        <v>20</v>
      </c>
      <c r="M32" s="162">
        <v>80</v>
      </c>
      <c r="N32" s="162">
        <v>80</v>
      </c>
      <c r="O32" s="162">
        <v>80</v>
      </c>
      <c r="P32" s="161">
        <v>95</v>
      </c>
      <c r="Q32" s="141">
        <f t="shared" si="0"/>
        <v>480</v>
      </c>
      <c r="R32" s="128">
        <f>Q32/14.5</f>
        <v>33.103448275862071</v>
      </c>
      <c r="S32" s="113" t="str">
        <f>IF(R32&gt;=50*0.9,"A",IF(R32&gt;=50*0.8,"B",IF(R32&gt;=50*0.7,"C",IF(R32&gt;=50*0.6,"D",IF(R32&gt;=50*0.5,"E",IF(Q32=0,"NA","F"))))))</f>
        <v>D</v>
      </c>
      <c r="T32" s="130">
        <f t="shared" si="2"/>
        <v>20</v>
      </c>
      <c r="U32" s="164">
        <v>1</v>
      </c>
      <c r="V32" s="164">
        <v>4</v>
      </c>
      <c r="W32" s="153">
        <f t="shared" si="3"/>
        <v>5</v>
      </c>
    </row>
    <row r="33" spans="1:23" ht="20.45" customHeight="1" x14ac:dyDescent="0.25">
      <c r="A33" s="179">
        <v>22</v>
      </c>
      <c r="B33" s="103" t="s">
        <v>231</v>
      </c>
      <c r="C33" s="103" t="s">
        <v>232</v>
      </c>
      <c r="D33" s="103" t="s">
        <v>32</v>
      </c>
      <c r="E33" s="519" t="s">
        <v>233</v>
      </c>
      <c r="F33" s="520" t="s">
        <v>233</v>
      </c>
      <c r="G33" s="161">
        <v>57</v>
      </c>
      <c r="H33" s="161">
        <v>62</v>
      </c>
      <c r="I33" s="210">
        <v>36</v>
      </c>
      <c r="J33" s="210">
        <v>24</v>
      </c>
      <c r="K33" s="166">
        <v>0</v>
      </c>
      <c r="L33" s="162">
        <v>20</v>
      </c>
      <c r="M33" s="162">
        <v>90</v>
      </c>
      <c r="N33" s="162">
        <v>100</v>
      </c>
      <c r="O33" s="162">
        <v>98</v>
      </c>
      <c r="P33" s="161">
        <v>115</v>
      </c>
      <c r="Q33" s="142">
        <f t="shared" si="0"/>
        <v>602</v>
      </c>
      <c r="R33" s="124">
        <f>Q33/14.5</f>
        <v>41.517241379310342</v>
      </c>
      <c r="S33" s="112" t="str">
        <f>IF(R33&gt;=50*0.9,"A",IF(R33&gt;=50*0.8,"B",IF(R33&gt;=50*0.7,"C",IF(R33&gt;=50*0.6,"D",IF(R33&gt;=50*0.5,"E",IF(Q33=0,"NA","F"))))))</f>
        <v>B</v>
      </c>
      <c r="T33" s="127">
        <f t="shared" si="2"/>
        <v>3</v>
      </c>
      <c r="U33" s="164">
        <v>0</v>
      </c>
      <c r="V33" s="164">
        <v>0</v>
      </c>
      <c r="W33" s="153">
        <f t="shared" si="3"/>
        <v>0</v>
      </c>
    </row>
    <row r="34" spans="1:23" ht="20.45" customHeight="1" x14ac:dyDescent="0.25">
      <c r="A34" s="174">
        <v>23</v>
      </c>
      <c r="B34" s="103" t="s">
        <v>231</v>
      </c>
      <c r="C34" s="103" t="s">
        <v>234</v>
      </c>
      <c r="D34" s="103" t="s">
        <v>32</v>
      </c>
      <c r="E34" s="515" t="s">
        <v>235</v>
      </c>
      <c r="F34" s="516" t="s">
        <v>235</v>
      </c>
      <c r="G34" s="161">
        <v>55</v>
      </c>
      <c r="H34" s="161">
        <v>62</v>
      </c>
      <c r="I34" s="210">
        <v>25</v>
      </c>
      <c r="J34" s="210">
        <v>14</v>
      </c>
      <c r="K34" s="166">
        <v>0</v>
      </c>
      <c r="L34" s="162">
        <v>20</v>
      </c>
      <c r="M34" s="162">
        <v>91</v>
      </c>
      <c r="N34" s="162">
        <v>100</v>
      </c>
      <c r="O34" s="162">
        <v>97</v>
      </c>
      <c r="P34" s="161">
        <v>119</v>
      </c>
      <c r="Q34" s="141">
        <f t="shared" si="0"/>
        <v>580</v>
      </c>
      <c r="R34" s="128">
        <f>Q34/14.5</f>
        <v>40</v>
      </c>
      <c r="S34" s="113" t="str">
        <f>IF(R34&gt;=50*0.9,"A",IF(R34&gt;=50*0.8,"B",IF(R34&gt;=50*0.7,"C",IF(R34&gt;=50*0.6,"D",IF(R34&gt;=50*0.5,"E",IF(Q34=0,"NA","F"))))))</f>
        <v>B</v>
      </c>
      <c r="T34" s="130">
        <f t="shared" si="2"/>
        <v>10</v>
      </c>
      <c r="U34" s="164">
        <v>3</v>
      </c>
      <c r="V34" s="164">
        <v>0</v>
      </c>
      <c r="W34" s="153">
        <f t="shared" si="3"/>
        <v>3</v>
      </c>
    </row>
    <row r="35" spans="1:23" ht="20.45" customHeight="1" x14ac:dyDescent="0.25">
      <c r="A35" s="179">
        <v>24</v>
      </c>
      <c r="B35" s="103" t="s">
        <v>236</v>
      </c>
      <c r="C35" s="103" t="s">
        <v>237</v>
      </c>
      <c r="D35" s="103" t="s">
        <v>32</v>
      </c>
      <c r="E35" s="516" t="s">
        <v>238</v>
      </c>
      <c r="F35" s="521" t="s">
        <v>238</v>
      </c>
      <c r="G35" s="161">
        <v>42</v>
      </c>
      <c r="H35" s="161">
        <v>62</v>
      </c>
      <c r="I35" s="210">
        <v>27</v>
      </c>
      <c r="J35" s="210">
        <v>19</v>
      </c>
      <c r="K35" s="166">
        <v>0</v>
      </c>
      <c r="L35" s="162">
        <v>20</v>
      </c>
      <c r="M35" s="162">
        <v>92</v>
      </c>
      <c r="N35" s="162">
        <v>90</v>
      </c>
      <c r="O35" s="162">
        <v>90</v>
      </c>
      <c r="P35" s="161">
        <v>106</v>
      </c>
      <c r="Q35" s="142">
        <f t="shared" si="0"/>
        <v>544</v>
      </c>
      <c r="R35" s="124">
        <f>Q35/14.5</f>
        <v>37.517241379310342</v>
      </c>
      <c r="S35" s="112" t="str">
        <f>IF(R35&gt;=50*0.9,"A",IF(R35&gt;=50*0.8,"B",IF(R35&gt;=50*0.7,"C",IF(R35&gt;=50*0.6,"D",IF(R35&gt;=50*0.5,"E",IF(Q35=0,"NA","F"))))))</f>
        <v>C</v>
      </c>
      <c r="T35" s="127">
        <f t="shared" si="2"/>
        <v>14</v>
      </c>
      <c r="U35" s="164">
        <v>4</v>
      </c>
      <c r="V35" s="164">
        <v>0</v>
      </c>
      <c r="W35" s="153">
        <f t="shared" si="3"/>
        <v>4</v>
      </c>
    </row>
    <row r="36" spans="1:23" ht="35.25" customHeight="1" x14ac:dyDescent="0.25">
      <c r="A36" s="374" t="str">
        <f>"បញ្ឈប់បញ្ជីត្រឹមឈ្មោះ ឡៅ លីម៉ារ៉ាឌី  "&amp;"      ចំនួនសរុប  "&amp;COUNT(A12:A35)&amp;"  នាក់"&amp;"      ក្នុងនោះស្រី  "&amp;COUNTIF(D12:D35,"ស")&amp;"  នាក់ ។"</f>
        <v>បញ្ឈប់បញ្ជីត្រឹមឈ្មោះ ឡៅ លីម៉ារ៉ាឌី        ចំនួនសរុប  24  នាក់      ក្នុងនោះស្រី  17  នាក់ ។</v>
      </c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9"/>
      <c r="S36" s="9"/>
    </row>
    <row r="37" spans="1:23" ht="28.5" customHeight="1" x14ac:dyDescent="0.25">
      <c r="B37" s="53" t="s">
        <v>34</v>
      </c>
      <c r="C37" s="53"/>
    </row>
    <row r="38" spans="1:23" ht="27.75" customHeight="1" x14ac:dyDescent="0.6">
      <c r="B38" s="377" t="s">
        <v>51</v>
      </c>
      <c r="C38" s="378"/>
      <c r="D38" s="48" t="s">
        <v>8</v>
      </c>
      <c r="E38" s="377" t="s">
        <v>39</v>
      </c>
      <c r="F38" s="378"/>
    </row>
    <row r="39" spans="1:23" ht="27.75" customHeight="1" x14ac:dyDescent="0.65">
      <c r="B39" s="382" t="s">
        <v>79</v>
      </c>
      <c r="C39" s="383"/>
      <c r="D39" s="42" t="s">
        <v>26</v>
      </c>
      <c r="E39" s="382" t="s">
        <v>52</v>
      </c>
      <c r="F39" s="383"/>
      <c r="Q39" s="23"/>
    </row>
    <row r="40" spans="1:23" ht="25.5" customHeight="1" x14ac:dyDescent="0.25">
      <c r="B40" s="367" t="s">
        <v>80</v>
      </c>
      <c r="C40" s="368"/>
      <c r="D40" s="43" t="s">
        <v>27</v>
      </c>
      <c r="E40" s="367" t="s">
        <v>35</v>
      </c>
      <c r="F40" s="368"/>
    </row>
    <row r="41" spans="1:23" ht="24.75" customHeight="1" x14ac:dyDescent="0.25">
      <c r="B41" s="371" t="s">
        <v>81</v>
      </c>
      <c r="C41" s="372"/>
      <c r="D41" s="44" t="s">
        <v>28</v>
      </c>
      <c r="E41" s="371" t="s">
        <v>36</v>
      </c>
      <c r="F41" s="372"/>
      <c r="I41" s="38"/>
      <c r="J41" s="39"/>
      <c r="K41" s="38"/>
      <c r="L41" s="39"/>
      <c r="M41" s="38"/>
      <c r="N41" s="379"/>
      <c r="O41" s="379"/>
      <c r="P41" s="379"/>
    </row>
    <row r="42" spans="1:23" ht="27.75" customHeight="1" x14ac:dyDescent="0.25">
      <c r="A42" s="41"/>
      <c r="B42" s="331" t="s">
        <v>82</v>
      </c>
      <c r="C42" s="332"/>
      <c r="D42" s="45" t="s">
        <v>29</v>
      </c>
      <c r="E42" s="331" t="s">
        <v>42</v>
      </c>
      <c r="F42" s="332"/>
      <c r="I42" s="25"/>
      <c r="J42" s="26"/>
      <c r="K42" s="26"/>
      <c r="L42" s="26"/>
      <c r="M42" s="26"/>
      <c r="N42" s="8"/>
      <c r="O42" s="8"/>
      <c r="P42" s="8"/>
    </row>
    <row r="43" spans="1:23" ht="28.5" customHeight="1" x14ac:dyDescent="0.8">
      <c r="A43" s="31"/>
      <c r="B43" s="335" t="s">
        <v>83</v>
      </c>
      <c r="C43" s="336"/>
      <c r="D43" s="46" t="s">
        <v>41</v>
      </c>
      <c r="E43" s="335" t="s">
        <v>37</v>
      </c>
      <c r="F43" s="336"/>
      <c r="I43" s="26"/>
      <c r="J43" s="26"/>
      <c r="K43" s="26"/>
      <c r="L43" s="13"/>
      <c r="M43" s="13"/>
      <c r="N43" s="13"/>
      <c r="O43" s="13"/>
      <c r="P43" s="13"/>
    </row>
    <row r="44" spans="1:23" ht="27.75" customHeight="1" x14ac:dyDescent="0.8">
      <c r="A44" s="31"/>
      <c r="B44" s="495" t="s">
        <v>84</v>
      </c>
      <c r="C44" s="496"/>
      <c r="D44" s="47" t="s">
        <v>30</v>
      </c>
      <c r="E44" s="339" t="s">
        <v>38</v>
      </c>
      <c r="F44" s="339"/>
      <c r="G44" s="71"/>
      <c r="H44" s="71"/>
      <c r="I44" s="26"/>
      <c r="J44" s="26"/>
      <c r="K44" s="26"/>
      <c r="L44" s="13"/>
      <c r="M44" s="13"/>
      <c r="N44" s="13"/>
      <c r="O44" s="13"/>
      <c r="P44" s="13"/>
    </row>
    <row r="45" spans="1:23" ht="96" customHeight="1" x14ac:dyDescent="0.8">
      <c r="A45" s="31"/>
      <c r="B45" s="489" t="s">
        <v>92</v>
      </c>
      <c r="C45" s="489"/>
      <c r="D45" s="489"/>
      <c r="E45" s="489"/>
      <c r="F45" s="489"/>
      <c r="G45" s="490"/>
      <c r="H45" s="490"/>
      <c r="I45" s="490"/>
      <c r="J45" s="26"/>
      <c r="K45" s="26"/>
      <c r="L45" s="13"/>
      <c r="M45" s="13"/>
      <c r="N45" s="13"/>
      <c r="O45" s="13"/>
      <c r="P45" s="13"/>
    </row>
    <row r="46" spans="1:23" ht="32.25" customHeight="1" x14ac:dyDescent="0.65">
      <c r="A46" s="252" t="s">
        <v>33</v>
      </c>
      <c r="B46" s="252"/>
      <c r="C46" s="252"/>
      <c r="D46" s="252"/>
      <c r="E46" s="347"/>
      <c r="F46" s="69" t="s">
        <v>3</v>
      </c>
      <c r="G46" s="70" t="s">
        <v>4</v>
      </c>
      <c r="I46" s="26"/>
      <c r="J46" s="26"/>
      <c r="K46" s="26"/>
      <c r="L46" s="13"/>
      <c r="M46" s="13"/>
      <c r="N46" s="9"/>
    </row>
    <row r="47" spans="1:23" ht="25.5" customHeight="1" x14ac:dyDescent="0.65">
      <c r="B47" s="418" t="s">
        <v>55</v>
      </c>
      <c r="C47" s="419"/>
      <c r="D47" s="422" t="s">
        <v>67</v>
      </c>
      <c r="E47" s="423"/>
      <c r="F47" s="67">
        <f>D50+F50</f>
        <v>24</v>
      </c>
      <c r="G47" s="68">
        <f>E50+G50</f>
        <v>17</v>
      </c>
      <c r="H47" s="358" t="s">
        <v>8</v>
      </c>
      <c r="I47" s="359"/>
      <c r="J47" s="359"/>
      <c r="K47" s="359"/>
      <c r="L47" s="359"/>
      <c r="M47" s="359"/>
      <c r="N47" s="359"/>
      <c r="O47" s="359"/>
      <c r="P47" s="359"/>
      <c r="Q47" s="359"/>
      <c r="R47" s="359"/>
      <c r="S47" s="360"/>
      <c r="T47" s="80" t="s">
        <v>85</v>
      </c>
      <c r="U47" s="80"/>
    </row>
    <row r="48" spans="1:23" ht="62.45" customHeight="1" x14ac:dyDescent="0.25">
      <c r="A48" s="8"/>
      <c r="B48" s="420"/>
      <c r="C48" s="421"/>
      <c r="D48" s="361" t="s">
        <v>77</v>
      </c>
      <c r="E48" s="362"/>
      <c r="F48" s="363" t="s">
        <v>365</v>
      </c>
      <c r="G48" s="364"/>
      <c r="H48" s="341" t="s">
        <v>26</v>
      </c>
      <c r="I48" s="342"/>
      <c r="J48" s="341" t="s">
        <v>27</v>
      </c>
      <c r="K48" s="342"/>
      <c r="L48" s="341" t="s">
        <v>28</v>
      </c>
      <c r="M48" s="342"/>
      <c r="N48" s="341" t="s">
        <v>29</v>
      </c>
      <c r="O48" s="342"/>
      <c r="P48" s="343" t="s">
        <v>41</v>
      </c>
      <c r="Q48" s="344"/>
      <c r="R48" s="348" t="s">
        <v>88</v>
      </c>
      <c r="S48" s="349"/>
      <c r="T48" s="80"/>
      <c r="U48" s="80"/>
    </row>
    <row r="49" spans="1:31" ht="23.25" x14ac:dyDescent="0.6">
      <c r="A49" s="8"/>
      <c r="B49" s="4" t="s">
        <v>3</v>
      </c>
      <c r="C49" s="33" t="s">
        <v>4</v>
      </c>
      <c r="D49" s="4" t="s">
        <v>3</v>
      </c>
      <c r="E49" s="33" t="s">
        <v>4</v>
      </c>
      <c r="F49" s="4" t="s">
        <v>3</v>
      </c>
      <c r="G49" s="33" t="s">
        <v>4</v>
      </c>
      <c r="H49" s="4" t="s">
        <v>3</v>
      </c>
      <c r="I49" s="52" t="s">
        <v>4</v>
      </c>
      <c r="J49" s="40" t="s">
        <v>3</v>
      </c>
      <c r="K49" s="33" t="s">
        <v>4</v>
      </c>
      <c r="L49" s="4" t="s">
        <v>3</v>
      </c>
      <c r="M49" s="33" t="s">
        <v>4</v>
      </c>
      <c r="N49" s="4" t="s">
        <v>3</v>
      </c>
      <c r="O49" s="33" t="s">
        <v>4</v>
      </c>
      <c r="P49" s="4" t="s">
        <v>3</v>
      </c>
      <c r="Q49" s="33" t="s">
        <v>4</v>
      </c>
      <c r="R49" s="63" t="s">
        <v>3</v>
      </c>
      <c r="S49" s="64" t="s">
        <v>4</v>
      </c>
      <c r="T49" s="33"/>
      <c r="U49" s="4"/>
    </row>
    <row r="50" spans="1:31" ht="23.25" customHeight="1" x14ac:dyDescent="0.25">
      <c r="A50" s="8"/>
      <c r="B50" s="55">
        <f>COUNT(A12:A35)</f>
        <v>24</v>
      </c>
      <c r="C50" s="56">
        <f>COUNTIF(D12:D35,"ស")</f>
        <v>17</v>
      </c>
      <c r="D50" s="55">
        <f>SUM(H50,J50,L50,N50,P50)</f>
        <v>24</v>
      </c>
      <c r="E50" s="56">
        <f>SUM(I50,K50,M50,O50,Q50)</f>
        <v>17</v>
      </c>
      <c r="F50" s="32">
        <f>COUNTIF(S12:S35,"F")</f>
        <v>0</v>
      </c>
      <c r="G50" s="34">
        <f>COUNTIFS(S12:S35,"F",D12:D35,"ស")</f>
        <v>0</v>
      </c>
      <c r="H50" s="35">
        <f>COUNTIF(S12:S35,"A")</f>
        <v>1</v>
      </c>
      <c r="I50" s="34">
        <f>COUNTIFS(S12:S35,"A",D12:D35,"ស")</f>
        <v>0</v>
      </c>
      <c r="J50" s="35">
        <f>COUNTIF(S12:S35,"B")</f>
        <v>9</v>
      </c>
      <c r="K50" s="34">
        <f>COUNTIFS(S12:S35,"B",D12:D35,"ស")</f>
        <v>8</v>
      </c>
      <c r="L50" s="35">
        <f>COUNTIF(S12:S35,"C")</f>
        <v>8</v>
      </c>
      <c r="M50" s="34">
        <f>COUNTIFS(S12:S35,"C",D12:D35,"ស")</f>
        <v>5</v>
      </c>
      <c r="N50" s="35">
        <f>COUNTIF(S12:S35,"D")</f>
        <v>5</v>
      </c>
      <c r="O50" s="34">
        <f>COUNTIFS(S12:S35,"D",D12:D35,"ស")</f>
        <v>3</v>
      </c>
      <c r="P50" s="35">
        <f>COUNTIF(S12:S35,"E")</f>
        <v>1</v>
      </c>
      <c r="Q50" s="34">
        <f>COUNTIFS(S12:S35,"E",D12:D35,"ស")</f>
        <v>1</v>
      </c>
      <c r="R50" s="65">
        <f>COUNTIF(S12:S35,"NA")</f>
        <v>0</v>
      </c>
      <c r="S50" s="66">
        <f>COUNTIFS(S12:S35,"NA",D12:D35,"ស")</f>
        <v>0</v>
      </c>
      <c r="T50" s="34"/>
      <c r="U50" s="55"/>
      <c r="Y50" s="379"/>
      <c r="Z50" s="379"/>
      <c r="AA50" s="379"/>
      <c r="AB50" s="379"/>
      <c r="AC50" s="379"/>
      <c r="AD50" s="379"/>
      <c r="AE50" s="379"/>
    </row>
    <row r="51" spans="1:31" ht="26.25" customHeight="1" x14ac:dyDescent="0.25">
      <c r="A51" s="8"/>
      <c r="Y51" s="458"/>
      <c r="Z51" s="458"/>
      <c r="AA51" s="458"/>
      <c r="AB51" s="458"/>
      <c r="AC51" s="458"/>
      <c r="AD51" s="458"/>
      <c r="AE51" s="458"/>
    </row>
    <row r="52" spans="1:31" ht="23.25" x14ac:dyDescent="0.35">
      <c r="A52" s="8"/>
      <c r="B52" s="12"/>
      <c r="D52" s="54"/>
      <c r="P52" s="350" t="str">
        <f>កុំព្យូទ័រ២!O55</f>
        <v>ថ្ងៃអង្គារ  ១៣កើត ខែចេត្រ ឆ្នាំម្សាញ់ សប្តស័ក ព.ស ២៥៦៩</v>
      </c>
      <c r="Q52" s="350"/>
      <c r="R52" s="350"/>
      <c r="S52" s="350"/>
      <c r="T52" s="350"/>
      <c r="U52" s="350"/>
      <c r="V52" s="350"/>
      <c r="W52" s="350"/>
    </row>
    <row r="53" spans="1:31" ht="22.5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9"/>
      <c r="P53" s="351" t="str">
        <f>កុំព្យូទ័រ២!O56</f>
        <v>ធ្វើនៅដុនបូស្កូប៉ោយប៉ែត ថ្ងៃទី៣១ខែ មីនាឆ្នាំ ២០២៦</v>
      </c>
      <c r="Q53" s="351"/>
      <c r="R53" s="351"/>
      <c r="S53" s="351"/>
      <c r="T53" s="351"/>
      <c r="U53" s="351"/>
      <c r="V53" s="351"/>
      <c r="W53" s="351"/>
    </row>
    <row r="54" spans="1:31" ht="24.95" customHeight="1" x14ac:dyDescent="0.65">
      <c r="A54" s="340" t="s">
        <v>22</v>
      </c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11"/>
      <c r="O54" s="13"/>
      <c r="P54" s="321" t="s">
        <v>16</v>
      </c>
      <c r="Q54" s="321"/>
      <c r="R54" s="321"/>
      <c r="S54" s="321"/>
      <c r="T54" s="321"/>
      <c r="U54" s="321"/>
      <c r="V54" s="321"/>
      <c r="W54" s="321"/>
    </row>
    <row r="55" spans="1:31" ht="24.75" customHeight="1" x14ac:dyDescent="0.25">
      <c r="A55" s="340" t="str">
        <f>ស្ថិតិលទ្ធផលសិក្សាតាមនិទ្ទេស!A73</f>
        <v>នាយកសាលា</v>
      </c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13"/>
      <c r="O55" s="13"/>
      <c r="P55" s="13"/>
      <c r="Q55" s="18"/>
      <c r="R55" s="19"/>
      <c r="S55" s="16"/>
    </row>
    <row r="56" spans="1:31" ht="21" customHeight="1" x14ac:dyDescent="0.25">
      <c r="N56" s="16"/>
      <c r="O56" s="16"/>
      <c r="P56" s="16"/>
      <c r="Q56" s="21"/>
      <c r="R56" s="16"/>
      <c r="S56" s="16"/>
    </row>
    <row r="57" spans="1:31" ht="21" x14ac:dyDescent="0.25">
      <c r="A57" s="14"/>
      <c r="B57" s="22"/>
      <c r="C57" s="22"/>
      <c r="D57" s="22"/>
      <c r="E57" s="22"/>
      <c r="F57" s="22"/>
      <c r="G57" s="22"/>
      <c r="I57" s="22"/>
      <c r="J57" s="17"/>
      <c r="K57" s="15"/>
      <c r="L57" s="15"/>
      <c r="M57" s="20"/>
      <c r="N57" s="16"/>
      <c r="O57" s="16"/>
      <c r="P57" s="16"/>
      <c r="Q57" s="21"/>
      <c r="R57" s="16"/>
      <c r="S57" s="16"/>
    </row>
  </sheetData>
  <mergeCells count="90">
    <mergeCell ref="Y50:AE50"/>
    <mergeCell ref="Y51:AE51"/>
    <mergeCell ref="A1:W1"/>
    <mergeCell ref="A2:W2"/>
    <mergeCell ref="A3:W3"/>
    <mergeCell ref="U4:W4"/>
    <mergeCell ref="U9:W10"/>
    <mergeCell ref="G10:G11"/>
    <mergeCell ref="H10:H11"/>
    <mergeCell ref="I10:I11"/>
    <mergeCell ref="J10:J11"/>
    <mergeCell ref="K10:K11"/>
    <mergeCell ref="L10:L11"/>
    <mergeCell ref="A7:W7"/>
    <mergeCell ref="A8:W8"/>
    <mergeCell ref="A9:A11"/>
    <mergeCell ref="B9:B11"/>
    <mergeCell ref="C9:C11"/>
    <mergeCell ref="D9:D11"/>
    <mergeCell ref="E9:F11"/>
    <mergeCell ref="S9:S11"/>
    <mergeCell ref="T9:T11"/>
    <mergeCell ref="G9:P9"/>
    <mergeCell ref="Q9:Q11"/>
    <mergeCell ref="M10:M11"/>
    <mergeCell ref="N10:N11"/>
    <mergeCell ref="O10:O11"/>
    <mergeCell ref="P10:P11"/>
    <mergeCell ref="R9:R11"/>
    <mergeCell ref="E20:F20"/>
    <mergeCell ref="E21:F21"/>
    <mergeCell ref="E26:F26"/>
    <mergeCell ref="E27:F27"/>
    <mergeCell ref="E22:F22"/>
    <mergeCell ref="E23:F23"/>
    <mergeCell ref="E12:F12"/>
    <mergeCell ref="E19:F19"/>
    <mergeCell ref="E13:F13"/>
    <mergeCell ref="E14:F14"/>
    <mergeCell ref="E15:F15"/>
    <mergeCell ref="E16:F16"/>
    <mergeCell ref="E17:F17"/>
    <mergeCell ref="E18:F18"/>
    <mergeCell ref="B38:C38"/>
    <mergeCell ref="E38:F38"/>
    <mergeCell ref="B39:C39"/>
    <mergeCell ref="E39:F39"/>
    <mergeCell ref="E29:F29"/>
    <mergeCell ref="E30:F30"/>
    <mergeCell ref="A36:Q36"/>
    <mergeCell ref="E32:F32"/>
    <mergeCell ref="E33:F33"/>
    <mergeCell ref="E35:F35"/>
    <mergeCell ref="E34:F34"/>
    <mergeCell ref="E31:F31"/>
    <mergeCell ref="E28:F28"/>
    <mergeCell ref="E24:F24"/>
    <mergeCell ref="E25:F25"/>
    <mergeCell ref="P52:W52"/>
    <mergeCell ref="P53:W53"/>
    <mergeCell ref="P54:W54"/>
    <mergeCell ref="A46:E46"/>
    <mergeCell ref="B40:C40"/>
    <mergeCell ref="E40:F40"/>
    <mergeCell ref="B41:C41"/>
    <mergeCell ref="E41:F41"/>
    <mergeCell ref="B43:C43"/>
    <mergeCell ref="E43:F43"/>
    <mergeCell ref="B44:C44"/>
    <mergeCell ref="E44:F44"/>
    <mergeCell ref="B45:I45"/>
    <mergeCell ref="B42:C42"/>
    <mergeCell ref="E42:F42"/>
    <mergeCell ref="N41:P41"/>
    <mergeCell ref="A6:K6"/>
    <mergeCell ref="A4:K4"/>
    <mergeCell ref="A5:K5"/>
    <mergeCell ref="A55:M55"/>
    <mergeCell ref="B47:C48"/>
    <mergeCell ref="D47:E47"/>
    <mergeCell ref="H47:S47"/>
    <mergeCell ref="D48:E48"/>
    <mergeCell ref="F48:G48"/>
    <mergeCell ref="H48:I48"/>
    <mergeCell ref="J48:K48"/>
    <mergeCell ref="L48:M48"/>
    <mergeCell ref="N48:O48"/>
    <mergeCell ref="P48:Q48"/>
    <mergeCell ref="R48:S48"/>
    <mergeCell ref="A54:M54"/>
  </mergeCells>
  <pageMargins left="0.12" right="0.12" top="0.13" bottom="0.12" header="0.13" footer="0.12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74"/>
  <sheetViews>
    <sheetView view="pageLayout" topLeftCell="A60" zoomScaleNormal="85" zoomScaleSheetLayoutView="117" workbookViewId="0">
      <selection activeCell="S20" sqref="S20"/>
    </sheetView>
  </sheetViews>
  <sheetFormatPr defaultRowHeight="15" x14ac:dyDescent="0.25"/>
  <cols>
    <col min="1" max="1" width="8.28515625" customWidth="1"/>
    <col min="2" max="2" width="5.140625" customWidth="1"/>
    <col min="3" max="6" width="7.7109375" customWidth="1"/>
    <col min="7" max="7" width="9" customWidth="1"/>
    <col min="8" max="8" width="9.85546875" customWidth="1"/>
    <col min="9" max="22" width="5.7109375" customWidth="1"/>
  </cols>
  <sheetData>
    <row r="1" spans="1:22" ht="19.899999999999999" customHeight="1" x14ac:dyDescent="0.25">
      <c r="A1" s="234" t="s">
        <v>13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</row>
    <row r="2" spans="1:22" ht="19.899999999999999" customHeight="1" x14ac:dyDescent="0.25">
      <c r="A2" s="234" t="s">
        <v>19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</row>
    <row r="3" spans="1:22" ht="19.899999999999999" customHeight="1" x14ac:dyDescent="0.25">
      <c r="A3" s="243">
        <v>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7"/>
      <c r="V3" s="27"/>
    </row>
    <row r="4" spans="1:22" ht="21" customHeight="1" x14ac:dyDescent="0.25">
      <c r="A4" s="471" t="s">
        <v>15</v>
      </c>
      <c r="B4" s="471"/>
      <c r="C4" s="471"/>
      <c r="D4" s="471"/>
      <c r="E4" s="471"/>
      <c r="F4" s="471"/>
      <c r="G4" s="471"/>
      <c r="H4" s="471"/>
      <c r="I4" s="471"/>
      <c r="J4" s="471"/>
      <c r="R4" s="253" t="s">
        <v>65</v>
      </c>
      <c r="S4" s="253"/>
      <c r="T4" s="253"/>
    </row>
    <row r="5" spans="1:22" ht="19.899999999999999" customHeight="1" x14ac:dyDescent="0.25">
      <c r="A5" s="471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471"/>
      <c r="C5" s="471"/>
      <c r="D5" s="471"/>
      <c r="E5" s="471"/>
      <c r="F5" s="471"/>
      <c r="G5" s="471"/>
      <c r="H5" s="471"/>
      <c r="I5" s="471"/>
      <c r="J5" s="471"/>
    </row>
    <row r="6" spans="1:22" ht="19.899999999999999" customHeight="1" x14ac:dyDescent="0.25">
      <c r="A6" s="471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471"/>
      <c r="C6" s="471"/>
      <c r="D6" s="471"/>
      <c r="E6" s="471"/>
      <c r="F6" s="471"/>
      <c r="G6" s="471"/>
      <c r="H6" s="471"/>
      <c r="I6" s="471"/>
      <c r="J6" s="471"/>
    </row>
    <row r="7" spans="1:22" ht="9.9499999999999993" customHeight="1" x14ac:dyDescent="0.25"/>
    <row r="8" spans="1:22" ht="23.25" x14ac:dyDescent="0.65">
      <c r="A8" s="233" t="s">
        <v>525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</row>
    <row r="9" spans="1:22" ht="23.25" x14ac:dyDescent="0.65">
      <c r="A9" s="531" t="s">
        <v>78</v>
      </c>
      <c r="B9" s="531"/>
      <c r="C9" s="531"/>
      <c r="D9" s="531"/>
      <c r="E9" s="531"/>
      <c r="F9" s="531"/>
      <c r="G9" s="531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spans="1:22" ht="21" customHeight="1" x14ac:dyDescent="0.25">
      <c r="A10" s="526" t="s">
        <v>40</v>
      </c>
      <c r="B10" s="525" t="s">
        <v>5</v>
      </c>
      <c r="C10" s="328" t="s">
        <v>89</v>
      </c>
      <c r="D10" s="328"/>
      <c r="E10" s="328" t="s">
        <v>6</v>
      </c>
      <c r="F10" s="328"/>
      <c r="G10" s="328"/>
      <c r="H10" s="328"/>
      <c r="I10" s="525" t="s">
        <v>8</v>
      </c>
      <c r="J10" s="525"/>
      <c r="K10" s="525"/>
      <c r="L10" s="525"/>
      <c r="M10" s="525"/>
      <c r="N10" s="525"/>
      <c r="O10" s="525"/>
      <c r="P10" s="525"/>
      <c r="Q10" s="525"/>
      <c r="R10" s="525"/>
      <c r="S10" s="525"/>
      <c r="T10" s="525"/>
    </row>
    <row r="11" spans="1:22" ht="21" customHeight="1" x14ac:dyDescent="0.25">
      <c r="A11" s="526"/>
      <c r="B11" s="525"/>
      <c r="C11" s="328"/>
      <c r="D11" s="328"/>
      <c r="E11" s="328" t="s">
        <v>77</v>
      </c>
      <c r="F11" s="328"/>
      <c r="G11" s="328" t="s">
        <v>86</v>
      </c>
      <c r="H11" s="328"/>
      <c r="I11" s="525" t="s">
        <v>26</v>
      </c>
      <c r="J11" s="525"/>
      <c r="K11" s="525" t="s">
        <v>27</v>
      </c>
      <c r="L11" s="525"/>
      <c r="M11" s="525" t="s">
        <v>28</v>
      </c>
      <c r="N11" s="525"/>
      <c r="O11" s="525" t="s">
        <v>29</v>
      </c>
      <c r="P11" s="525"/>
      <c r="Q11" s="525" t="s">
        <v>41</v>
      </c>
      <c r="R11" s="525"/>
      <c r="S11" s="525" t="s">
        <v>88</v>
      </c>
      <c r="T11" s="525"/>
    </row>
    <row r="12" spans="1:22" ht="19.149999999999999" customHeight="1" x14ac:dyDescent="0.25">
      <c r="A12" s="526"/>
      <c r="B12" s="525"/>
      <c r="C12" s="4" t="s">
        <v>3</v>
      </c>
      <c r="D12" s="4" t="s">
        <v>4</v>
      </c>
      <c r="E12" s="4" t="s">
        <v>3</v>
      </c>
      <c r="F12" s="4" t="s">
        <v>4</v>
      </c>
      <c r="G12" s="24" t="s">
        <v>3</v>
      </c>
      <c r="H12" s="24" t="s">
        <v>4</v>
      </c>
      <c r="I12" s="4" t="s">
        <v>3</v>
      </c>
      <c r="J12" s="4" t="s">
        <v>4</v>
      </c>
      <c r="K12" s="4" t="s">
        <v>3</v>
      </c>
      <c r="L12" s="4" t="s">
        <v>4</v>
      </c>
      <c r="M12" s="4" t="s">
        <v>3</v>
      </c>
      <c r="N12" s="4" t="s">
        <v>4</v>
      </c>
      <c r="O12" s="4" t="s">
        <v>3</v>
      </c>
      <c r="P12" s="4" t="s">
        <v>4</v>
      </c>
      <c r="Q12" s="4" t="s">
        <v>3</v>
      </c>
      <c r="R12" s="4" t="s">
        <v>4</v>
      </c>
      <c r="S12" s="4" t="s">
        <v>3</v>
      </c>
      <c r="T12" s="4" t="s">
        <v>4</v>
      </c>
    </row>
    <row r="13" spans="1:22" ht="15.6" customHeight="1" x14ac:dyDescent="0.25">
      <c r="A13" s="530" t="s">
        <v>128</v>
      </c>
      <c r="B13" s="184">
        <v>1</v>
      </c>
      <c r="C13" s="164">
        <f>ស្ថិតិលទ្ធផលសិក្សាតាមនិទ្ទេស!E14</f>
        <v>22</v>
      </c>
      <c r="D13" s="164">
        <f>ស្ថិតិលទ្ធផលសិក្សាតាមនិទ្ទេស!F14</f>
        <v>5</v>
      </c>
      <c r="E13" s="164">
        <f>ស្ថិតិលទ្ធផលសិក្សាតាមនិទ្ទេស!G14</f>
        <v>17</v>
      </c>
      <c r="F13" s="164">
        <f>ស្ថិតិលទ្ធផលសិក្សាតាមនិទ្ទេស!H14</f>
        <v>1</v>
      </c>
      <c r="G13" s="164">
        <f>ស្ថិតិលទ្ធផលសិក្សាតាមនិទ្ទេស!I14</f>
        <v>0</v>
      </c>
      <c r="H13" s="164">
        <f>ស្ថិតិលទ្ធផលសិក្សាតាមនិទ្ទេស!J14</f>
        <v>0</v>
      </c>
      <c r="I13" s="164">
        <f>ស្ថិតិលទ្ធផលសិក្សាតាមនិទ្ទេស!K14</f>
        <v>0</v>
      </c>
      <c r="J13" s="164">
        <f>ស្ថិតិលទ្ធផលសិក្សាតាមនិទ្ទេស!L14</f>
        <v>0</v>
      </c>
      <c r="K13" s="164">
        <f>ស្ថិតិលទ្ធផលសិក្សាតាមនិទ្ទេស!M14</f>
        <v>0</v>
      </c>
      <c r="L13" s="164">
        <f>ស្ថិតិលទ្ធផលសិក្សាតាមនិទ្ទេស!N14</f>
        <v>0</v>
      </c>
      <c r="M13" s="164">
        <f>ស្ថិតិលទ្ធផលសិក្សាតាមនិទ្ទេស!O14</f>
        <v>4</v>
      </c>
      <c r="N13" s="164">
        <f>ស្ថិតិលទ្ធផលសិក្សាតាមនិទ្ទេស!P14</f>
        <v>1</v>
      </c>
      <c r="O13" s="164">
        <f>ស្ថិតិលទ្ធផលសិក្សាតាមនិទ្ទេស!Q14</f>
        <v>5</v>
      </c>
      <c r="P13" s="164">
        <f>ស្ថិតិលទ្ធផលសិក្សាតាមនិទ្ទេស!R14</f>
        <v>0</v>
      </c>
      <c r="Q13" s="164">
        <f>ស្ថិតិលទ្ធផលសិក្សាតាមនិទ្ទេស!S14</f>
        <v>8</v>
      </c>
      <c r="R13" s="164">
        <f>ស្ថិតិលទ្ធផលសិក្សាតាមនិទ្ទេស!T14</f>
        <v>0</v>
      </c>
      <c r="S13" s="164">
        <f>ស្ថិតិលទ្ធផលសិក្សាតាមនិទ្ទេស!E14</f>
        <v>22</v>
      </c>
      <c r="T13" s="164">
        <f>ស្ថិតិលទ្ធផលសិក្សាតាមនិទ្ទេស!F14</f>
        <v>5</v>
      </c>
    </row>
    <row r="14" spans="1:22" ht="15.6" customHeight="1" x14ac:dyDescent="0.25">
      <c r="A14" s="528"/>
      <c r="B14" s="164">
        <v>2</v>
      </c>
      <c r="C14" s="164">
        <f>ស្ថិតិលទ្ធផលសិក្សាតាមនិទ្ទេស!E15</f>
        <v>18</v>
      </c>
      <c r="D14" s="164">
        <f>ស្ថិតិលទ្ធផលសិក្សាតាមនិទ្ទេស!F15</f>
        <v>1</v>
      </c>
      <c r="E14" s="164">
        <f>ស្ថិតិលទ្ធផលសិក្សាតាមនិទ្ទេស!G15</f>
        <v>14</v>
      </c>
      <c r="F14" s="164">
        <f>ស្ថិតិលទ្ធផលសិក្សាតាមនិទ្ទេស!H15</f>
        <v>0</v>
      </c>
      <c r="G14" s="164">
        <f>ស្ថិតិលទ្ធផលសិក្សាតាមនិទ្ទេស!I15</f>
        <v>0</v>
      </c>
      <c r="H14" s="164">
        <f>ស្ថិតិលទ្ធផលសិក្សាតាមនិទ្ទេស!J15</f>
        <v>0</v>
      </c>
      <c r="I14" s="164">
        <f>ស្ថិតិលទ្ធផលសិក្សាតាមនិទ្ទេស!K15</f>
        <v>0</v>
      </c>
      <c r="J14" s="164">
        <f>ស្ថិតិលទ្ធផលសិក្សាតាមនិទ្ទេស!L15</f>
        <v>0</v>
      </c>
      <c r="K14" s="164">
        <f>ស្ថិតិលទ្ធផលសិក្សាតាមនិទ្ទេស!M15</f>
        <v>0</v>
      </c>
      <c r="L14" s="164">
        <f>ស្ថិតិលទ្ធផលសិក្សាតាមនិទ្ទេស!N15</f>
        <v>0</v>
      </c>
      <c r="M14" s="164">
        <f>ស្ថិតិលទ្ធផលសិក្សាតាមនិទ្ទេស!O15</f>
        <v>0</v>
      </c>
      <c r="N14" s="164">
        <f>ស្ថិតិលទ្ធផលសិក្សាតាមនិទ្ទេស!P15</f>
        <v>0</v>
      </c>
      <c r="O14" s="164">
        <f>ស្ថិតិលទ្ធផលសិក្សាតាមនិទ្ទេស!Q15</f>
        <v>4</v>
      </c>
      <c r="P14" s="164">
        <f>ស្ថិតិលទ្ធផលសិក្សាតាមនិទ្ទេស!R15</f>
        <v>0</v>
      </c>
      <c r="Q14" s="164">
        <f>ស្ថិតិលទ្ធផលសិក្សាតាមនិទ្ទេស!S15</f>
        <v>10</v>
      </c>
      <c r="R14" s="164">
        <f>ស្ថិតិលទ្ធផលសិក្សាតាមនិទ្ទេស!T15</f>
        <v>0</v>
      </c>
      <c r="S14" s="164">
        <f>ស្ថិតិលទ្ធផលសិក្សាតាមនិទ្ទេស!E15</f>
        <v>18</v>
      </c>
      <c r="T14" s="164">
        <f>ស្ថិតិលទ្ធផលសិក្សាតាមនិទ្ទេស!F15</f>
        <v>1</v>
      </c>
    </row>
    <row r="15" spans="1:22" ht="15.6" customHeight="1" x14ac:dyDescent="0.25">
      <c r="A15" s="529"/>
      <c r="B15" s="164">
        <v>3</v>
      </c>
      <c r="C15" s="164">
        <f>ស្ថិតិលទ្ធផលសិក្សាតាមនិទ្ទេស!E16</f>
        <v>14</v>
      </c>
      <c r="D15" s="164">
        <f>ស្ថិតិលទ្ធផលសិក្សាតាមនិទ្ទេស!F16</f>
        <v>0</v>
      </c>
      <c r="E15" s="164">
        <f>ស្ថិតិលទ្ធផលសិក្សាតាមនិទ្ទេស!G16</f>
        <v>21</v>
      </c>
      <c r="F15" s="164">
        <f>ស្ថិតិលទ្ធផលសិក្សាតាមនិទ្ទេស!H16</f>
        <v>5</v>
      </c>
      <c r="G15" s="164">
        <f>ស្ថិតិលទ្ធផលសិក្សាតាមនិទ្ទេស!I16</f>
        <v>0</v>
      </c>
      <c r="H15" s="164">
        <f>ស្ថិតិលទ្ធផលសិក្សាតាមនិទ្ទេស!J16</f>
        <v>0</v>
      </c>
      <c r="I15" s="164">
        <f>ស្ថិតិលទ្ធផលសិក្សាតាមនិទ្ទេស!K16</f>
        <v>0</v>
      </c>
      <c r="J15" s="164">
        <f>ស្ថិតិលទ្ធផលសិក្សាតាមនិទ្ទេស!L16</f>
        <v>0</v>
      </c>
      <c r="K15" s="164">
        <f>ស្ថិតិលទ្ធផលសិក្សាតាមនិទ្ទេស!M16</f>
        <v>0</v>
      </c>
      <c r="L15" s="164">
        <f>ស្ថិតិលទ្ធផលសិក្សាតាមនិទ្ទេស!N16</f>
        <v>0</v>
      </c>
      <c r="M15" s="164">
        <f>ស្ថិតិលទ្ធផលសិក្សាតាមនិទ្ទេស!O16</f>
        <v>3</v>
      </c>
      <c r="N15" s="164">
        <f>ស្ថិតិលទ្ធផលសិក្សាតាមនិទ្ទេស!P16</f>
        <v>2</v>
      </c>
      <c r="O15" s="164">
        <f>ស្ថិតិលទ្ធផលសិក្សាតាមនិទ្ទេស!Q16</f>
        <v>7</v>
      </c>
      <c r="P15" s="164">
        <f>ស្ថិតិលទ្ធផលសិក្សាតាមនិទ្ទេស!R16</f>
        <v>2</v>
      </c>
      <c r="Q15" s="164">
        <f>ស្ថិតិលទ្ធផលសិក្សាតាមនិទ្ទេស!S16</f>
        <v>11</v>
      </c>
      <c r="R15" s="164">
        <f>ស្ថិតិលទ្ធផលសិក្សាតាមនិទ្ទេស!T16</f>
        <v>1</v>
      </c>
      <c r="S15" s="164">
        <f>ស្ថិតិលទ្ធផលសិក្សាតាមនិទ្ទេស!E16</f>
        <v>14</v>
      </c>
      <c r="T15" s="164">
        <f>ស្ថិតិលទ្ធផលសិក្សាតាមនិទ្ទេស!F16</f>
        <v>0</v>
      </c>
    </row>
    <row r="16" spans="1:22" ht="19.149999999999999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8"/>
      <c r="T16" s="58"/>
    </row>
    <row r="17" spans="1:20" ht="21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8"/>
      <c r="T17" s="58"/>
    </row>
    <row r="18" spans="1:20" ht="21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  <c r="T18" s="58"/>
    </row>
    <row r="19" spans="1:20" ht="21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8"/>
      <c r="T19" s="58"/>
    </row>
    <row r="20" spans="1:20" ht="21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8"/>
      <c r="T20" s="58"/>
    </row>
    <row r="21" spans="1:20" ht="21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8"/>
      <c r="T21" s="58"/>
    </row>
    <row r="22" spans="1:20" ht="21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8"/>
      <c r="T22" s="58"/>
    </row>
    <row r="23" spans="1:20" ht="21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8"/>
      <c r="T23" s="58"/>
    </row>
    <row r="24" spans="1:20" ht="21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8"/>
      <c r="T24" s="58"/>
    </row>
    <row r="25" spans="1:20" ht="21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8"/>
      <c r="T25" s="58"/>
    </row>
    <row r="26" spans="1:20" ht="30.6" customHeight="1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8"/>
      <c r="T26" s="58"/>
    </row>
    <row r="27" spans="1:20" ht="21" customHeight="1" x14ac:dyDescent="0.25">
      <c r="A27" s="525" t="s">
        <v>40</v>
      </c>
      <c r="B27" s="525" t="s">
        <v>5</v>
      </c>
      <c r="C27" s="328" t="s">
        <v>89</v>
      </c>
      <c r="D27" s="328"/>
      <c r="E27" s="328" t="s">
        <v>6</v>
      </c>
      <c r="F27" s="328"/>
      <c r="G27" s="328"/>
      <c r="H27" s="328"/>
      <c r="I27" s="525" t="s">
        <v>8</v>
      </c>
      <c r="J27" s="525"/>
      <c r="K27" s="525"/>
      <c r="L27" s="525"/>
      <c r="M27" s="525"/>
      <c r="N27" s="525"/>
      <c r="O27" s="525"/>
      <c r="P27" s="525"/>
      <c r="Q27" s="525"/>
      <c r="R27" s="525"/>
      <c r="S27" s="525"/>
      <c r="T27" s="525"/>
    </row>
    <row r="28" spans="1:20" ht="21" customHeight="1" x14ac:dyDescent="0.25">
      <c r="A28" s="525"/>
      <c r="B28" s="525"/>
      <c r="C28" s="328"/>
      <c r="D28" s="328"/>
      <c r="E28" s="328" t="s">
        <v>77</v>
      </c>
      <c r="F28" s="328"/>
      <c r="G28" s="328" t="s">
        <v>87</v>
      </c>
      <c r="H28" s="328"/>
      <c r="I28" s="525" t="s">
        <v>26</v>
      </c>
      <c r="J28" s="525"/>
      <c r="K28" s="525" t="s">
        <v>27</v>
      </c>
      <c r="L28" s="525"/>
      <c r="M28" s="525" t="s">
        <v>28</v>
      </c>
      <c r="N28" s="525"/>
      <c r="O28" s="525" t="s">
        <v>29</v>
      </c>
      <c r="P28" s="525"/>
      <c r="Q28" s="525" t="s">
        <v>41</v>
      </c>
      <c r="R28" s="525"/>
      <c r="S28" s="525" t="s">
        <v>88</v>
      </c>
      <c r="T28" s="525"/>
    </row>
    <row r="29" spans="1:20" ht="21" customHeight="1" x14ac:dyDescent="0.25">
      <c r="A29" s="525"/>
      <c r="B29" s="525"/>
      <c r="C29" s="4" t="s">
        <v>3</v>
      </c>
      <c r="D29" s="4" t="s">
        <v>4</v>
      </c>
      <c r="E29" s="4" t="s">
        <v>3</v>
      </c>
      <c r="F29" s="4" t="s">
        <v>4</v>
      </c>
      <c r="G29" s="24" t="s">
        <v>3</v>
      </c>
      <c r="H29" s="24" t="s">
        <v>4</v>
      </c>
      <c r="I29" s="4" t="s">
        <v>3</v>
      </c>
      <c r="J29" s="4" t="s">
        <v>4</v>
      </c>
      <c r="K29" s="4" t="s">
        <v>3</v>
      </c>
      <c r="L29" s="4" t="s">
        <v>4</v>
      </c>
      <c r="M29" s="4" t="s">
        <v>3</v>
      </c>
      <c r="N29" s="4" t="s">
        <v>4</v>
      </c>
      <c r="O29" s="4" t="s">
        <v>3</v>
      </c>
      <c r="P29" s="4" t="s">
        <v>4</v>
      </c>
      <c r="Q29" s="4" t="s">
        <v>3</v>
      </c>
      <c r="R29" s="4" t="s">
        <v>4</v>
      </c>
      <c r="S29" s="4" t="s">
        <v>3</v>
      </c>
      <c r="T29" s="4" t="s">
        <v>4</v>
      </c>
    </row>
    <row r="30" spans="1:20" ht="21" customHeight="1" x14ac:dyDescent="0.25">
      <c r="A30" s="527" t="s">
        <v>127</v>
      </c>
      <c r="B30" s="184">
        <v>1</v>
      </c>
      <c r="C30" s="184">
        <f>ស្ថិតិលទ្ធផលសិក្សាតាមនិទ្ទេស!E18</f>
        <v>29</v>
      </c>
      <c r="D30" s="184">
        <f>ស្ថិតិលទ្ធផលសិក្សាតាមនិទ្ទេស!F18</f>
        <v>20</v>
      </c>
      <c r="E30" s="184">
        <f>ស្ថិតិលទ្ធផលសិក្សាតាមនិទ្ទេស!G18</f>
        <v>27</v>
      </c>
      <c r="F30" s="184">
        <f>ស្ថិតិលទ្ធផលសិក្សាតាមនិទ្ទេស!H18</f>
        <v>19</v>
      </c>
      <c r="G30" s="184">
        <f>ស្ថិតិលទ្ធផលសិក្សាតាមនិទ្ទេស!I18</f>
        <v>0</v>
      </c>
      <c r="H30" s="184">
        <f>ស្ថិតិលទ្ធផលសិក្សាតាមនិទ្ទេស!J18</f>
        <v>0</v>
      </c>
      <c r="I30" s="184">
        <f>ស្ថិតិលទ្ធផលសិក្សាតាមនិទ្ទេស!K18</f>
        <v>0</v>
      </c>
      <c r="J30" s="184">
        <f>ស្ថិតិលទ្ធផលសិក្សាតាមនិទ្ទេស!L18</f>
        <v>0</v>
      </c>
      <c r="K30" s="184">
        <f>ស្ថិតិលទ្ធផលសិក្សាតាមនិទ្ទេស!M18</f>
        <v>11</v>
      </c>
      <c r="L30" s="184">
        <f>ស្ថិតិលទ្ធផលសិក្សាតាមនិទ្ទេស!N18</f>
        <v>9</v>
      </c>
      <c r="M30" s="184">
        <f>ស្ថិតិលទ្ធផលសិក្សាតាមនិទ្ទេស!O18</f>
        <v>10</v>
      </c>
      <c r="N30" s="184">
        <f>ស្ថិតិលទ្ធផលសិក្សាតាមនិទ្ទេស!P18</f>
        <v>8</v>
      </c>
      <c r="O30" s="184">
        <f>ស្ថិតិលទ្ធផលសិក្សាតាមនិទ្ទេស!Q18</f>
        <v>6</v>
      </c>
      <c r="P30" s="184">
        <f>ស្ថិតិលទ្ធផលសិក្សាតាមនិទ្ទេស!R18</f>
        <v>2</v>
      </c>
      <c r="Q30" s="184">
        <f>ស្ថិតិលទ្ធផលសិក្សាតាមនិទ្ទេស!S18</f>
        <v>0</v>
      </c>
      <c r="R30" s="184">
        <f>ស្ថិតិលទ្ធផលសិក្សាតាមនិទ្ទេស!T18</f>
        <v>0</v>
      </c>
      <c r="S30" s="184">
        <f>ស្ថិតិលទ្ធផលសិក្សាតាមនិទ្ទេស!U18</f>
        <v>0</v>
      </c>
      <c r="T30" s="184">
        <f>ស្ថិតិលទ្ធផលសិក្សាតាមនិទ្ទេស!V18</f>
        <v>0</v>
      </c>
    </row>
    <row r="31" spans="1:20" ht="21" customHeight="1" x14ac:dyDescent="0.25">
      <c r="A31" s="528"/>
      <c r="B31" s="164">
        <v>2</v>
      </c>
      <c r="C31" s="184">
        <f>ស្ថិតិលទ្ធផលសិក្សាតាមនិទ្ទេស!E19</f>
        <v>27</v>
      </c>
      <c r="D31" s="184">
        <f>ស្ថិតិលទ្ធផលសិក្សាតាមនិទ្ទេស!F19</f>
        <v>19</v>
      </c>
      <c r="E31" s="184">
        <f>ស្ថិតិលទ្ធផលសិក្សាតាមនិទ្ទេស!G19</f>
        <v>24</v>
      </c>
      <c r="F31" s="184">
        <f>ស្ថិតិលទ្ធផលសិក្សាតាមនិទ្ទេស!H19</f>
        <v>17</v>
      </c>
      <c r="G31" s="184">
        <f>ស្ថិតិលទ្ធផលសិក្សាតាមនិទ្ទេស!I19</f>
        <v>0</v>
      </c>
      <c r="H31" s="184">
        <f>ស្ថិតិលទ្ធផលសិក្សាតាមនិទ្ទេស!J19</f>
        <v>0</v>
      </c>
      <c r="I31" s="184">
        <f>ស្ថិតិលទ្ធផលសិក្សាតាមនិទ្ទេស!K19</f>
        <v>1</v>
      </c>
      <c r="J31" s="184">
        <f>ស្ថិតិលទ្ធផលសិក្សាតាមនិទ្ទេស!L19</f>
        <v>0</v>
      </c>
      <c r="K31" s="184">
        <f>ស្ថិតិលទ្ធផលសិក្សាតាមនិទ្ទេស!M19</f>
        <v>9</v>
      </c>
      <c r="L31" s="184">
        <f>ស្ថិតិលទ្ធផលសិក្សាតាមនិទ្ទេស!N19</f>
        <v>8</v>
      </c>
      <c r="M31" s="184">
        <f>ស្ថិតិលទ្ធផលសិក្សាតាមនិទ្ទេស!O19</f>
        <v>8</v>
      </c>
      <c r="N31" s="184">
        <f>ស្ថិតិលទ្ធផលសិក្សាតាមនិទ្ទេស!P19</f>
        <v>5</v>
      </c>
      <c r="O31" s="184">
        <f>ស្ថិតិលទ្ធផលសិក្សាតាមនិទ្ទេស!Q19</f>
        <v>5</v>
      </c>
      <c r="P31" s="184">
        <f>ស្ថិតិលទ្ធផលសិក្សាតាមនិទ្ទេស!R19</f>
        <v>3</v>
      </c>
      <c r="Q31" s="184">
        <f>ស្ថិតិលទ្ធផលសិក្សាតាមនិទ្ទេស!S19</f>
        <v>1</v>
      </c>
      <c r="R31" s="184">
        <f>ស្ថិតិលទ្ធផលសិក្សាតាមនិទ្ទេស!T19</f>
        <v>1</v>
      </c>
      <c r="S31" s="184">
        <f>ស្ថិតិលទ្ធផលសិក្សាតាមនិទ្ទេស!U19</f>
        <v>0</v>
      </c>
      <c r="T31" s="184">
        <f>ស្ថិតិលទ្ធផលសិក្សាតាមនិទ្ទេស!V19</f>
        <v>0</v>
      </c>
    </row>
    <row r="32" spans="1:20" ht="21" customHeight="1" x14ac:dyDescent="0.25">
      <c r="A32" s="529"/>
      <c r="B32" s="164">
        <v>3</v>
      </c>
      <c r="C32" s="184">
        <f>ស្ថិតិលទ្ធផលសិក្សាតាមនិទ្ទេស!E20</f>
        <v>24</v>
      </c>
      <c r="D32" s="184">
        <f>ស្ថិតិលទ្ធផលសិក្សាតាមនិទ្ទេស!F20</f>
        <v>17</v>
      </c>
      <c r="E32" s="184">
        <f>ស្ថិតិលទ្ធផលសិក្សាតាមនិទ្ទេស!G20</f>
        <v>29</v>
      </c>
      <c r="F32" s="184">
        <f>ស្ថិតិលទ្ធផលសិក្សាតាមនិទ្ទេស!H20</f>
        <v>20</v>
      </c>
      <c r="G32" s="184">
        <f>ស្ថិតិលទ្ធផលសិក្សាតាមនិទ្ទេស!I20</f>
        <v>0</v>
      </c>
      <c r="H32" s="184">
        <f>ស្ថិតិលទ្ធផលសិក្សាតាមនិទ្ទេស!J20</f>
        <v>0</v>
      </c>
      <c r="I32" s="184">
        <f>ស្ថិតិលទ្ធផលសិក្សាតាមនិទ្ទេស!K20</f>
        <v>0</v>
      </c>
      <c r="J32" s="184">
        <f>ស្ថិតិលទ្ធផលសិក្សាតាមនិទ្ទេស!L20</f>
        <v>0</v>
      </c>
      <c r="K32" s="184">
        <f>ស្ថិតិលទ្ធផលសិក្សាតាមនិទ្ទេស!M20</f>
        <v>8</v>
      </c>
      <c r="L32" s="184">
        <f>ស្ថិតិលទ្ធផលសិក្សាតាមនិទ្ទេស!N20</f>
        <v>3</v>
      </c>
      <c r="M32" s="184">
        <f>ស្ថិតិលទ្ធផលសិក្សាតាមនិទ្ទេស!O20</f>
        <v>11</v>
      </c>
      <c r="N32" s="184">
        <f>ស្ថិតិលទ្ធផលសិក្សាតាមនិទ្ទេស!P20</f>
        <v>8</v>
      </c>
      <c r="O32" s="184">
        <f>ស្ថិតិលទ្ធផលសិក្សាតាមនិទ្ទេស!Q20</f>
        <v>7</v>
      </c>
      <c r="P32" s="184">
        <f>ស្ថិតិលទ្ធផលសិក្សាតាមនិទ្ទេស!R20</f>
        <v>6</v>
      </c>
      <c r="Q32" s="184">
        <f>ស្ថិតិលទ្ធផលសិក្សាតាមនិទ្ទេស!S20</f>
        <v>3</v>
      </c>
      <c r="R32" s="184">
        <f>ស្ថិតិលទ្ធផលសិក្សាតាមនិទ្ទេស!T20</f>
        <v>3</v>
      </c>
      <c r="S32" s="184">
        <f>ស្ថិតិលទ្ធផលសិក្សាតាមនិទ្ទេស!U20</f>
        <v>0</v>
      </c>
      <c r="T32" s="184">
        <f>ស្ថិតិលទ្ធផលសិក្សាតាមនិទ្ទេស!V20</f>
        <v>0</v>
      </c>
    </row>
    <row r="33" spans="1:20" ht="21" x14ac:dyDescent="0.25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8"/>
      <c r="T33" s="58"/>
    </row>
    <row r="34" spans="1:20" ht="21" x14ac:dyDescent="0.2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8"/>
      <c r="T34" s="58"/>
    </row>
    <row r="35" spans="1:20" ht="21" x14ac:dyDescent="0.2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8"/>
      <c r="T35" s="58"/>
    </row>
    <row r="36" spans="1:20" ht="21" x14ac:dyDescent="0.25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8"/>
      <c r="T36" s="58"/>
    </row>
    <row r="37" spans="1:20" ht="21" x14ac:dyDescent="0.2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8"/>
      <c r="T37" s="58"/>
    </row>
    <row r="38" spans="1:20" ht="21" x14ac:dyDescent="0.2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8"/>
      <c r="T38" s="58"/>
    </row>
    <row r="39" spans="1:20" ht="21" x14ac:dyDescent="0.2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8"/>
      <c r="T39" s="58"/>
    </row>
    <row r="40" spans="1:20" ht="21" x14ac:dyDescent="0.25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8"/>
      <c r="T40" s="58"/>
    </row>
    <row r="41" spans="1:20" ht="21" x14ac:dyDescent="0.25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8"/>
      <c r="T41" s="58"/>
    </row>
    <row r="42" spans="1:20" ht="21" x14ac:dyDescent="0.25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8"/>
      <c r="T42" s="58"/>
    </row>
    <row r="43" spans="1:20" ht="21" x14ac:dyDescent="0.25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8"/>
      <c r="T43" s="58"/>
    </row>
    <row r="44" spans="1:20" ht="30.6" customHeight="1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8"/>
      <c r="T44" s="58"/>
    </row>
    <row r="45" spans="1:20" ht="21" customHeight="1" x14ac:dyDescent="0.25">
      <c r="A45" s="526" t="s">
        <v>40</v>
      </c>
      <c r="B45" s="525" t="s">
        <v>5</v>
      </c>
      <c r="C45" s="328" t="s">
        <v>89</v>
      </c>
      <c r="D45" s="328"/>
      <c r="E45" s="328" t="s">
        <v>6</v>
      </c>
      <c r="F45" s="328"/>
      <c r="G45" s="328"/>
      <c r="H45" s="328"/>
      <c r="I45" s="525" t="s">
        <v>8</v>
      </c>
      <c r="J45" s="525"/>
      <c r="K45" s="525"/>
      <c r="L45" s="525"/>
      <c r="M45" s="525"/>
      <c r="N45" s="525"/>
      <c r="O45" s="525"/>
      <c r="P45" s="525"/>
      <c r="Q45" s="525"/>
      <c r="R45" s="525"/>
      <c r="S45" s="525"/>
      <c r="T45" s="525"/>
    </row>
    <row r="46" spans="1:20" ht="18" customHeight="1" x14ac:dyDescent="0.25">
      <c r="A46" s="526"/>
      <c r="B46" s="525"/>
      <c r="C46" s="328"/>
      <c r="D46" s="328"/>
      <c r="E46" s="328" t="s">
        <v>77</v>
      </c>
      <c r="F46" s="328"/>
      <c r="G46" s="328" t="s">
        <v>87</v>
      </c>
      <c r="H46" s="328"/>
      <c r="I46" s="525" t="s">
        <v>26</v>
      </c>
      <c r="J46" s="525"/>
      <c r="K46" s="525" t="s">
        <v>27</v>
      </c>
      <c r="L46" s="525"/>
      <c r="M46" s="525" t="s">
        <v>28</v>
      </c>
      <c r="N46" s="525"/>
      <c r="O46" s="525" t="s">
        <v>29</v>
      </c>
      <c r="P46" s="525"/>
      <c r="Q46" s="525" t="s">
        <v>41</v>
      </c>
      <c r="R46" s="525"/>
      <c r="S46" s="525" t="s">
        <v>88</v>
      </c>
      <c r="T46" s="525"/>
    </row>
    <row r="47" spans="1:20" ht="21" customHeight="1" x14ac:dyDescent="0.25">
      <c r="A47" s="526"/>
      <c r="B47" s="525"/>
      <c r="C47" s="4" t="s">
        <v>3</v>
      </c>
      <c r="D47" s="4" t="s">
        <v>4</v>
      </c>
      <c r="E47" s="4" t="s">
        <v>3</v>
      </c>
      <c r="F47" s="4" t="s">
        <v>4</v>
      </c>
      <c r="G47" s="24" t="s">
        <v>3</v>
      </c>
      <c r="H47" s="24" t="s">
        <v>4</v>
      </c>
      <c r="I47" s="4" t="s">
        <v>3</v>
      </c>
      <c r="J47" s="4" t="s">
        <v>4</v>
      </c>
      <c r="K47" s="4" t="s">
        <v>3</v>
      </c>
      <c r="L47" s="4" t="s">
        <v>4</v>
      </c>
      <c r="M47" s="4" t="s">
        <v>3</v>
      </c>
      <c r="N47" s="4" t="s">
        <v>4</v>
      </c>
      <c r="O47" s="4" t="s">
        <v>3</v>
      </c>
      <c r="P47" s="4" t="s">
        <v>4</v>
      </c>
      <c r="Q47" s="4" t="s">
        <v>3</v>
      </c>
      <c r="R47" s="4" t="s">
        <v>4</v>
      </c>
      <c r="S47" s="4" t="s">
        <v>3</v>
      </c>
      <c r="T47" s="4" t="s">
        <v>4</v>
      </c>
    </row>
    <row r="48" spans="1:20" ht="19.149999999999999" customHeight="1" x14ac:dyDescent="0.25">
      <c r="A48" s="527" t="s">
        <v>343</v>
      </c>
      <c r="B48" s="184">
        <v>1</v>
      </c>
      <c r="C48" s="164">
        <f>ស្ថិតិលទ្ធផលសិក្សាតាមនិទ្ទេស!E22</f>
        <v>10</v>
      </c>
      <c r="D48" s="164">
        <f>ស្ថិតិលទ្ធផលសិក្សាតាមនិទ្ទេស!F22</f>
        <v>6</v>
      </c>
      <c r="E48" s="164">
        <f>ស្ថិតិលទ្ធផលសិក្សាតាមនិទ្ទេស!G22</f>
        <v>14</v>
      </c>
      <c r="F48" s="164">
        <f>ស្ថិតិលទ្ធផលសិក្សាតាមនិទ្ទេស!H22</f>
        <v>5</v>
      </c>
      <c r="G48" s="164">
        <f>ស្ថិតិលទ្ធផលសិក្សាតាមនិទ្ទេស!I22</f>
        <v>0</v>
      </c>
      <c r="H48" s="164">
        <f>ស្ថិតិលទ្ធផលសិក្សាតាមនិទ្ទេស!J22</f>
        <v>0</v>
      </c>
      <c r="I48" s="164">
        <f>ស្ថិតិលទ្ធផលសិក្សាតាមនិទ្ទេស!K22</f>
        <v>0</v>
      </c>
      <c r="J48" s="164">
        <f>ស្ថិតិលទ្ធផលសិក្សាតាមនិទ្ទេស!L22</f>
        <v>0</v>
      </c>
      <c r="K48" s="164">
        <f>ស្ថិតិលទ្ធផលសិក្សាតាមនិទ្ទេស!M22</f>
        <v>2</v>
      </c>
      <c r="L48" s="164">
        <f>ស្ថិតិលទ្ធផលសិក្សាតាមនិទ្ទេស!N22</f>
        <v>0</v>
      </c>
      <c r="M48" s="164">
        <f>ស្ថិតិលទ្ធផលសិក្សាតាមនិទ្ទេស!O22</f>
        <v>2</v>
      </c>
      <c r="N48" s="164">
        <f>ស្ថិតិលទ្ធផលសិក្សាតាមនិទ្ទេស!P22</f>
        <v>2</v>
      </c>
      <c r="O48" s="164">
        <f>ស្ថិតិលទ្ធផលសិក្សាតាមនិទ្ទេស!Q22</f>
        <v>5</v>
      </c>
      <c r="P48" s="164">
        <f>ស្ថិតិលទ្ធផលសិក្សាតាមនិទ្ទេស!R22</f>
        <v>1</v>
      </c>
      <c r="Q48" s="164">
        <f>ស្ថិតិលទ្ធផលសិក្សាតាមនិទ្ទេស!S22</f>
        <v>5</v>
      </c>
      <c r="R48" s="164">
        <f>ស្ថិតិលទ្ធផលសិក្សាតាមនិទ្ទេស!T22</f>
        <v>2</v>
      </c>
      <c r="S48" s="164">
        <f>ស្ថិតិលទ្ធផលសិក្សាតាមនិទ្ទេស!E22</f>
        <v>10</v>
      </c>
      <c r="T48" s="164">
        <f>ស្ថិតិលទ្ធផលសិក្សាតាមនិទ្ទេស!F22</f>
        <v>6</v>
      </c>
    </row>
    <row r="49" spans="1:20" ht="19.149999999999999" customHeight="1" x14ac:dyDescent="0.25">
      <c r="A49" s="528"/>
      <c r="B49" s="164">
        <v>2</v>
      </c>
      <c r="C49" s="164">
        <f>ស្ថិតិលទ្ធផលសិក្សាតាមនិទ្ទេស!E23</f>
        <v>15</v>
      </c>
      <c r="D49" s="164">
        <f>ស្ថិតិលទ្ធផលសិក្សាតាមនិទ្ទេស!F23</f>
        <v>5</v>
      </c>
      <c r="E49" s="164">
        <f>ស្ថិតិលទ្ធផលសិក្សាតាមនិទ្ទេស!G23</f>
        <v>0</v>
      </c>
      <c r="F49" s="164">
        <f>ស្ថិតិលទ្ធផលសិក្សាតាមនិទ្ទេស!H23</f>
        <v>0</v>
      </c>
      <c r="G49" s="164">
        <f>ស្ថិតិលទ្ធផលសិក្សាតាមនិទ្ទេស!I23</f>
        <v>0</v>
      </c>
      <c r="H49" s="164">
        <f>ស្ថិតិលទ្ធផលសិក្សាតាមនិទ្ទេស!J23</f>
        <v>0</v>
      </c>
      <c r="I49" s="164">
        <f>ស្ថិតិលទ្ធផលសិក្សាតាមនិទ្ទេស!K23</f>
        <v>0</v>
      </c>
      <c r="J49" s="164">
        <f>ស្ថិតិលទ្ធផលសិក្សាតាមនិទ្ទេស!L23</f>
        <v>0</v>
      </c>
      <c r="K49" s="164">
        <f>ស្ថិតិលទ្ធផលសិក្សាតាមនិទ្ទេស!M23</f>
        <v>0</v>
      </c>
      <c r="L49" s="164">
        <f>ស្ថិតិលទ្ធផលសិក្សាតាមនិទ្ទេស!N23</f>
        <v>0</v>
      </c>
      <c r="M49" s="164">
        <f>ស្ថិតិលទ្ធផលសិក្សាតាមនិទ្ទេស!O23</f>
        <v>0</v>
      </c>
      <c r="N49" s="164">
        <f>ស្ថិតិលទ្ធផលសិក្សាតាមនិទ្ទេស!P23</f>
        <v>0</v>
      </c>
      <c r="O49" s="164">
        <f>ស្ថិតិលទ្ធផលសិក្សាតាមនិទ្ទេស!Q23</f>
        <v>0</v>
      </c>
      <c r="P49" s="164">
        <f>ស្ថិតិលទ្ធផលសិក្សាតាមនិទ្ទេស!R23</f>
        <v>0</v>
      </c>
      <c r="Q49" s="164">
        <f>ស្ថិតិលទ្ធផលសិក្សាតាមនិទ្ទេស!S23</f>
        <v>0</v>
      </c>
      <c r="R49" s="164">
        <f>ស្ថិតិលទ្ធផលសិក្សាតាមនិទ្ទេស!T23</f>
        <v>0</v>
      </c>
      <c r="S49" s="164">
        <f>ស្ថិតិលទ្ធផលសិក្សាតាមនិទ្ទេស!E23</f>
        <v>15</v>
      </c>
      <c r="T49" s="164">
        <f>ស្ថិតិលទ្ធផលសិក្សាតាមនិទ្ទេស!F23</f>
        <v>5</v>
      </c>
    </row>
    <row r="50" spans="1:20" ht="19.149999999999999" customHeight="1" x14ac:dyDescent="0.25">
      <c r="A50" s="529"/>
      <c r="B50" s="164">
        <v>3</v>
      </c>
      <c r="C50" s="164">
        <f>ស្ថិតិលទ្ធផលសិក្សាតាមនិទ្ទេស!E24</f>
        <v>0</v>
      </c>
      <c r="D50" s="164">
        <f>ស្ថិតិលទ្ធផលសិក្សាតាមនិទ្ទេស!F24</f>
        <v>0</v>
      </c>
      <c r="E50" s="164">
        <f>ស្ថិតិលទ្ធផលសិក្សាតាមនិទ្ទេស!G24</f>
        <v>0</v>
      </c>
      <c r="F50" s="164">
        <f>ស្ថិតិលទ្ធផលសិក្សាតាមនិទ្ទេស!H24</f>
        <v>0</v>
      </c>
      <c r="G50" s="164">
        <f>ស្ថិតិលទ្ធផលសិក្សាតាមនិទ្ទេស!I24</f>
        <v>0</v>
      </c>
      <c r="H50" s="164">
        <f>ស្ថិតិលទ្ធផលសិក្សាតាមនិទ្ទេស!J24</f>
        <v>0</v>
      </c>
      <c r="I50" s="164">
        <f>ស្ថិតិលទ្ធផលសិក្សាតាមនិទ្ទេស!K24</f>
        <v>0</v>
      </c>
      <c r="J50" s="164">
        <f>ស្ថិតិលទ្ធផលសិក្សាតាមនិទ្ទេស!L24</f>
        <v>0</v>
      </c>
      <c r="K50" s="164">
        <f>ស្ថិតិលទ្ធផលសិក្សាតាមនិទ្ទេស!M24</f>
        <v>0</v>
      </c>
      <c r="L50" s="164">
        <f>ស្ថិតិលទ្ធផលសិក្សាតាមនិទ្ទេស!N24</f>
        <v>0</v>
      </c>
      <c r="M50" s="164">
        <f>ស្ថិតិលទ្ធផលសិក្សាតាមនិទ្ទេស!O24</f>
        <v>0</v>
      </c>
      <c r="N50" s="164">
        <f>ស្ថិតិលទ្ធផលសិក្សាតាមនិទ្ទេស!P24</f>
        <v>0</v>
      </c>
      <c r="O50" s="164">
        <f>ស្ថិតិលទ្ធផលសិក្សាតាមនិទ្ទេស!Q24</f>
        <v>0</v>
      </c>
      <c r="P50" s="164">
        <f>ស្ថិតិលទ្ធផលសិក្សាតាមនិទ្ទេស!R24</f>
        <v>0</v>
      </c>
      <c r="Q50" s="164">
        <f>ស្ថិតិលទ្ធផលសិក្សាតាមនិទ្ទេស!S24</f>
        <v>0</v>
      </c>
      <c r="R50" s="164">
        <f>ស្ថិតិលទ្ធផលសិក្សាតាមនិទ្ទេស!T24</f>
        <v>0</v>
      </c>
      <c r="S50" s="164">
        <f>ស្ថិតិលទ្ធផលសិក្សាតាមនិទ្ទេស!U24</f>
        <v>0</v>
      </c>
      <c r="T50" s="164">
        <f>ស្ថិតិលទ្ធផលសិក្សាតាមនិទ្ទេស!V24</f>
        <v>0</v>
      </c>
    </row>
    <row r="51" spans="1:20" ht="21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</row>
    <row r="52" spans="1:20" ht="21" x14ac:dyDescent="0.2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</row>
    <row r="53" spans="1:20" ht="21" x14ac:dyDescent="0.25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</row>
    <row r="54" spans="1:20" ht="21" x14ac:dyDescent="0.2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</row>
    <row r="55" spans="1:20" ht="21" x14ac:dyDescent="0.2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</row>
    <row r="56" spans="1:20" ht="21" x14ac:dyDescent="0.25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</row>
    <row r="57" spans="1:20" ht="21" x14ac:dyDescent="0.25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</row>
    <row r="58" spans="1:20" ht="21" x14ac:dyDescent="0.25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</row>
    <row r="59" spans="1:20" ht="21" x14ac:dyDescent="0.25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</row>
    <row r="60" spans="1:20" ht="21" x14ac:dyDescent="0.25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</row>
    <row r="61" spans="1:20" ht="21" x14ac:dyDescent="0.25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</row>
    <row r="62" spans="1:20" ht="21" x14ac:dyDescent="0.25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</row>
    <row r="63" spans="1:20" ht="13.9" customHeight="1" x14ac:dyDescent="0.25"/>
    <row r="64" spans="1:20" ht="1.1499999999999999" hidden="1" customHeight="1" x14ac:dyDescent="0.25"/>
    <row r="65" spans="10:21" hidden="1" x14ac:dyDescent="0.25"/>
    <row r="66" spans="10:21" hidden="1" x14ac:dyDescent="0.25"/>
    <row r="67" spans="10:21" hidden="1" x14ac:dyDescent="0.25"/>
    <row r="68" spans="10:21" hidden="1" x14ac:dyDescent="0.25"/>
    <row r="69" spans="10:21" hidden="1" x14ac:dyDescent="0.25"/>
    <row r="70" spans="10:21" hidden="1" x14ac:dyDescent="0.25"/>
    <row r="71" spans="10:21" hidden="1" x14ac:dyDescent="0.25"/>
    <row r="72" spans="10:21" ht="23.25" x14ac:dyDescent="0.65">
      <c r="J72" s="23" t="str">
        <f>កុំព្យទ័រ១!P56</f>
        <v>ថ្ងៃអង្គារ  ១៣កើត ខែចេត្រ ឆ្នាំម្សាញ់ សប្តស័ក ព.ស ២៥៦៩</v>
      </c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  <row r="73" spans="10:21" ht="23.25" x14ac:dyDescent="0.65">
      <c r="J73" s="324" t="str">
        <f>ស្ថិតិលទ្ធផលសិក្សាតាមនិទ្ទេស!N69</f>
        <v>ធ្វើនៅដុនបូស្កូប៉ោយប៉ែត ថ្ងៃទី៣១ខែ មីនាឆ្នាំ ២០២៦</v>
      </c>
      <c r="K73" s="324"/>
      <c r="L73" s="324"/>
      <c r="M73" s="324"/>
      <c r="N73" s="324"/>
      <c r="O73" s="324"/>
      <c r="P73" s="324"/>
      <c r="Q73" s="324"/>
      <c r="R73" s="324"/>
      <c r="S73" s="23"/>
      <c r="T73" s="23"/>
      <c r="U73" s="23"/>
    </row>
    <row r="74" spans="10:21" ht="23.25" x14ac:dyDescent="0.65">
      <c r="J74" s="321" t="s">
        <v>16</v>
      </c>
      <c r="K74" s="321"/>
      <c r="L74" s="321"/>
      <c r="M74" s="321"/>
      <c r="N74" s="321"/>
      <c r="O74" s="321"/>
      <c r="P74" s="321"/>
      <c r="Q74" s="321"/>
      <c r="R74" s="321"/>
      <c r="S74" s="36"/>
      <c r="T74" s="36"/>
      <c r="U74" s="36"/>
    </row>
  </sheetData>
  <mergeCells count="53">
    <mergeCell ref="A1:T1"/>
    <mergeCell ref="A2:T2"/>
    <mergeCell ref="A3:T3"/>
    <mergeCell ref="A9:G9"/>
    <mergeCell ref="A8:T8"/>
    <mergeCell ref="A6:J6"/>
    <mergeCell ref="R4:T4"/>
    <mergeCell ref="A4:J4"/>
    <mergeCell ref="A5:J5"/>
    <mergeCell ref="A48:A50"/>
    <mergeCell ref="A30:A32"/>
    <mergeCell ref="A13:A15"/>
    <mergeCell ref="B27:B29"/>
    <mergeCell ref="A27:A29"/>
    <mergeCell ref="C27:D28"/>
    <mergeCell ref="E27:H27"/>
    <mergeCell ref="A10:A12"/>
    <mergeCell ref="A45:A47"/>
    <mergeCell ref="B45:B47"/>
    <mergeCell ref="C10:D11"/>
    <mergeCell ref="B10:B12"/>
    <mergeCell ref="I27:T27"/>
    <mergeCell ref="E28:F28"/>
    <mergeCell ref="G28:H28"/>
    <mergeCell ref="I28:J28"/>
    <mergeCell ref="K28:L28"/>
    <mergeCell ref="M28:N28"/>
    <mergeCell ref="O28:P28"/>
    <mergeCell ref="Q28:R28"/>
    <mergeCell ref="S28:T28"/>
    <mergeCell ref="O11:P11"/>
    <mergeCell ref="Q11:R11"/>
    <mergeCell ref="E10:H10"/>
    <mergeCell ref="I10:T10"/>
    <mergeCell ref="S11:T11"/>
    <mergeCell ref="E11:F11"/>
    <mergeCell ref="G11:H11"/>
    <mergeCell ref="I11:J11"/>
    <mergeCell ref="K11:L11"/>
    <mergeCell ref="M11:N11"/>
    <mergeCell ref="J73:R73"/>
    <mergeCell ref="J74:R74"/>
    <mergeCell ref="C45:D46"/>
    <mergeCell ref="E45:H45"/>
    <mergeCell ref="I45:T45"/>
    <mergeCell ref="E46:F46"/>
    <mergeCell ref="G46:H46"/>
    <mergeCell ref="I46:J46"/>
    <mergeCell ref="K46:L46"/>
    <mergeCell ref="M46:N46"/>
    <mergeCell ref="O46:P46"/>
    <mergeCell ref="Q46:R46"/>
    <mergeCell ref="S46:T46"/>
  </mergeCells>
  <pageMargins left="0.12" right="0.12" top="0.28999999999999998" bottom="0.32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2"/>
  <sheetViews>
    <sheetView view="pageLayout" topLeftCell="A23" zoomScale="86" zoomScaleNormal="100" zoomScaleSheetLayoutView="100" zoomScalePageLayoutView="86" workbookViewId="0">
      <selection activeCell="A8" sqref="A8:H8"/>
    </sheetView>
  </sheetViews>
  <sheetFormatPr defaultRowHeight="15" x14ac:dyDescent="0.25"/>
  <cols>
    <col min="1" max="1" width="10.5703125" customWidth="1"/>
    <col min="2" max="7" width="6.7109375" customWidth="1"/>
    <col min="8" max="19" width="5.7109375" customWidth="1"/>
  </cols>
  <sheetData>
    <row r="1" spans="1:19" ht="28.5" customHeight="1" x14ac:dyDescent="0.25">
      <c r="A1" s="540" t="s">
        <v>13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</row>
    <row r="2" spans="1:19" ht="29.25" customHeight="1" x14ac:dyDescent="0.8">
      <c r="A2" s="541" t="s">
        <v>19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1"/>
      <c r="S2" s="541"/>
    </row>
    <row r="3" spans="1:19" ht="20.45" customHeight="1" x14ac:dyDescent="0.25">
      <c r="A3" s="542">
        <v>6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</row>
    <row r="4" spans="1:19" ht="30.75" customHeight="1" x14ac:dyDescent="0.8">
      <c r="A4" s="532" t="s">
        <v>15</v>
      </c>
      <c r="B4" s="532"/>
      <c r="C4" s="532"/>
      <c r="D4" s="532"/>
      <c r="E4" s="532"/>
      <c r="F4" s="532"/>
      <c r="G4" s="532"/>
      <c r="H4" s="532"/>
      <c r="I4" s="532"/>
      <c r="J4" s="532"/>
      <c r="K4" s="244"/>
      <c r="L4" s="244"/>
      <c r="M4" s="244"/>
      <c r="N4" s="244"/>
      <c r="O4" s="88"/>
      <c r="P4" s="88"/>
      <c r="Q4" s="552" t="s">
        <v>71</v>
      </c>
      <c r="R4" s="552"/>
      <c r="S4" s="552"/>
    </row>
    <row r="5" spans="1:19" ht="31.5" customHeight="1" x14ac:dyDescent="0.7">
      <c r="A5" s="532" t="str">
        <f>ស្ថិតិលទ្ធផលសិក្សាតាមនិទ្ទេស!A5</f>
        <v>មន្ទីរអប់រំ យុវជន និងកីឡា ខេត្តបន្ទាយមានជ័យ</v>
      </c>
      <c r="B5" s="532"/>
      <c r="C5" s="532"/>
      <c r="D5" s="532"/>
      <c r="E5" s="532"/>
      <c r="F5" s="532"/>
      <c r="G5" s="532"/>
      <c r="H5" s="532"/>
      <c r="I5" s="532"/>
      <c r="J5" s="532"/>
      <c r="K5" s="244"/>
      <c r="L5" s="244"/>
      <c r="M5" s="244"/>
      <c r="N5" s="244"/>
      <c r="O5" s="88"/>
      <c r="P5" s="88"/>
      <c r="Q5" s="88"/>
      <c r="R5" s="88"/>
      <c r="S5" s="88"/>
    </row>
    <row r="6" spans="1:19" ht="30.75" customHeight="1" x14ac:dyDescent="0.7">
      <c r="A6" s="532" t="str">
        <f>ស្ថិតិលទ្ធផលសិក្សាតាមនិទ្ទេស!A6</f>
        <v>វិទ្យាល័យចំណេះទូទៅនិងបច្ចេកទេស ឯកជនដុនបូស្កូប៉ោយប៉ែត</v>
      </c>
      <c r="B6" s="532"/>
      <c r="C6" s="532"/>
      <c r="D6" s="532"/>
      <c r="E6" s="532"/>
      <c r="F6" s="532"/>
      <c r="G6" s="532"/>
      <c r="H6" s="532"/>
      <c r="I6" s="532"/>
      <c r="J6" s="532"/>
      <c r="K6" s="244"/>
      <c r="L6" s="244"/>
      <c r="M6" s="244"/>
      <c r="N6" s="244"/>
      <c r="O6" s="88"/>
      <c r="P6" s="88"/>
      <c r="Q6" s="88"/>
      <c r="R6" s="88"/>
      <c r="S6" s="88"/>
    </row>
    <row r="7" spans="1:19" ht="36.75" customHeight="1" x14ac:dyDescent="0.25">
      <c r="A7" s="540" t="s">
        <v>526</v>
      </c>
      <c r="B7" s="540"/>
      <c r="C7" s="540"/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0"/>
      <c r="O7" s="540"/>
      <c r="P7" s="540"/>
      <c r="Q7" s="540"/>
      <c r="R7" s="540"/>
      <c r="S7" s="540"/>
    </row>
    <row r="8" spans="1:19" ht="27.75" customHeight="1" x14ac:dyDescent="0.65">
      <c r="A8" s="546" t="s">
        <v>448</v>
      </c>
      <c r="B8" s="546"/>
      <c r="C8" s="546"/>
      <c r="D8" s="546"/>
      <c r="E8" s="546"/>
      <c r="F8" s="546"/>
      <c r="G8" s="546"/>
      <c r="H8" s="546"/>
      <c r="I8" s="28"/>
      <c r="J8" s="28"/>
      <c r="K8" s="28"/>
      <c r="L8" s="28"/>
      <c r="M8" s="28"/>
      <c r="N8" s="28"/>
      <c r="O8" s="28"/>
      <c r="P8" s="28"/>
      <c r="Q8" s="28"/>
    </row>
    <row r="9" spans="1:19" ht="18" customHeight="1" x14ac:dyDescent="0.25">
      <c r="A9" s="543" t="s">
        <v>40</v>
      </c>
      <c r="B9" s="547" t="s">
        <v>136</v>
      </c>
      <c r="C9" s="548"/>
      <c r="D9" s="551" t="s">
        <v>67</v>
      </c>
      <c r="E9" s="551"/>
      <c r="F9" s="551"/>
      <c r="G9" s="551"/>
      <c r="H9" s="533" t="s">
        <v>8</v>
      </c>
      <c r="I9" s="539"/>
      <c r="J9" s="539"/>
      <c r="K9" s="539"/>
      <c r="L9" s="539"/>
      <c r="M9" s="539"/>
      <c r="N9" s="539"/>
      <c r="O9" s="539"/>
      <c r="P9" s="539"/>
      <c r="Q9" s="534"/>
      <c r="R9" s="535" t="s">
        <v>88</v>
      </c>
      <c r="S9" s="536"/>
    </row>
    <row r="10" spans="1:19" ht="18" customHeight="1" x14ac:dyDescent="0.25">
      <c r="A10" s="544"/>
      <c r="B10" s="549"/>
      <c r="C10" s="550"/>
      <c r="D10" s="551" t="s">
        <v>90</v>
      </c>
      <c r="E10" s="551"/>
      <c r="F10" s="551" t="s">
        <v>91</v>
      </c>
      <c r="G10" s="551"/>
      <c r="H10" s="533" t="s">
        <v>26</v>
      </c>
      <c r="I10" s="534"/>
      <c r="J10" s="533" t="s">
        <v>27</v>
      </c>
      <c r="K10" s="534"/>
      <c r="L10" s="533" t="s">
        <v>28</v>
      </c>
      <c r="M10" s="534"/>
      <c r="N10" s="533" t="s">
        <v>29</v>
      </c>
      <c r="O10" s="534"/>
      <c r="P10" s="533" t="s">
        <v>41</v>
      </c>
      <c r="Q10" s="534"/>
      <c r="R10" s="537"/>
      <c r="S10" s="538"/>
    </row>
    <row r="11" spans="1:19" ht="20.45" customHeight="1" x14ac:dyDescent="0.25">
      <c r="A11" s="545"/>
      <c r="B11" s="87" t="s">
        <v>3</v>
      </c>
      <c r="C11" s="87" t="s">
        <v>4</v>
      </c>
      <c r="D11" s="87" t="s">
        <v>3</v>
      </c>
      <c r="E11" s="87" t="s">
        <v>4</v>
      </c>
      <c r="F11" s="86" t="s">
        <v>3</v>
      </c>
      <c r="G11" s="86" t="s">
        <v>4</v>
      </c>
      <c r="H11" s="87" t="s">
        <v>3</v>
      </c>
      <c r="I11" s="87" t="s">
        <v>4</v>
      </c>
      <c r="J11" s="87" t="s">
        <v>3</v>
      </c>
      <c r="K11" s="87" t="s">
        <v>4</v>
      </c>
      <c r="L11" s="87" t="s">
        <v>3</v>
      </c>
      <c r="M11" s="87" t="s">
        <v>4</v>
      </c>
      <c r="N11" s="87" t="s">
        <v>3</v>
      </c>
      <c r="O11" s="87" t="s">
        <v>4</v>
      </c>
      <c r="P11" s="87" t="s">
        <v>3</v>
      </c>
      <c r="Q11" s="87" t="s">
        <v>4</v>
      </c>
      <c r="R11" s="87" t="s">
        <v>3</v>
      </c>
      <c r="S11" s="87" t="s">
        <v>4</v>
      </c>
    </row>
    <row r="12" spans="1:19" ht="16.149999999999999" customHeight="1" x14ac:dyDescent="0.25">
      <c r="A12" s="1" t="s">
        <v>128</v>
      </c>
      <c r="B12" s="1">
        <f>ស្ថិតិលទ្ធផលសិក្សាតាមនិទ្ទេស!E17</f>
        <v>54</v>
      </c>
      <c r="C12" s="1">
        <f>ស្ថិតិលទ្ធផលសិក្សាតាមនិទ្ទេស!F17</f>
        <v>6</v>
      </c>
      <c r="D12" s="1">
        <f>ស្ថិតិលទ្ធផលសិក្សាតាមនិទ្ទេស!G17</f>
        <v>52</v>
      </c>
      <c r="E12" s="1">
        <f>ស្ថិតិលទ្ធផលសិក្សាតាមនិទ្ទេស!H17</f>
        <v>6</v>
      </c>
      <c r="F12" s="1">
        <f>ស្ថិតិលទ្ធផលសិក្សាតាមនិទ្ទេស!I17</f>
        <v>0</v>
      </c>
      <c r="G12" s="1">
        <f>ស្ថិតិលទ្ធផលសិក្សាតាមនិទ្ទេស!J17</f>
        <v>0</v>
      </c>
      <c r="H12" s="1">
        <f>ស្ថិតិលទ្ធផលសិក្សាតាមនិទ្ទេស!K17</f>
        <v>0</v>
      </c>
      <c r="I12" s="1">
        <f>ស្ថិតិលទ្ធផលសិក្សាតាមនិទ្ទេស!L17</f>
        <v>0</v>
      </c>
      <c r="J12" s="1">
        <f>ស្ថិតិលទ្ធផលសិក្សាតាមនិទ្ទេស!M17</f>
        <v>0</v>
      </c>
      <c r="K12" s="1">
        <f>ស្ថិតិលទ្ធផលសិក្សាតាមនិទ្ទេស!N17</f>
        <v>0</v>
      </c>
      <c r="L12" s="1">
        <f>ស្ថិតិលទ្ធផលសិក្សាតាមនិទ្ទេស!O17</f>
        <v>7</v>
      </c>
      <c r="M12" s="1">
        <f>ស្ថិតិលទ្ធផលសិក្សាតាមនិទ្ទេស!P17</f>
        <v>3</v>
      </c>
      <c r="N12" s="1">
        <f>ស្ថិតិលទ្ធផលសិក្សាតាមនិទ្ទេស!Q17</f>
        <v>16</v>
      </c>
      <c r="O12" s="1">
        <f>ស្ថិតិលទ្ធផលសិក្សាតាមនិទ្ទេស!R17</f>
        <v>2</v>
      </c>
      <c r="P12" s="1">
        <f>ស្ថិតិលទ្ធផលសិក្សាតាមនិទ្ទេស!S17</f>
        <v>29</v>
      </c>
      <c r="Q12" s="1">
        <f>ស្ថិតិលទ្ធផលសិក្សាតាមនិទ្ទេស!T17</f>
        <v>1</v>
      </c>
      <c r="R12" s="1">
        <f>ស្ថិតិលទ្ធផលសិក្សាតាមនិទ្ទេស!U17</f>
        <v>2</v>
      </c>
      <c r="S12" s="1">
        <f>ស្ថិតិលទ្ធផលសិក្សាតាមនិទ្ទេស!V17</f>
        <v>0</v>
      </c>
    </row>
    <row r="13" spans="1:19" ht="16.149999999999999" customHeight="1" x14ac:dyDescent="0.25">
      <c r="A13" s="1" t="s">
        <v>343</v>
      </c>
      <c r="B13" s="1">
        <f>ស្ថិតិលទ្ធផលសិក្សាតាមនិទ្ទេស!E25</f>
        <v>25</v>
      </c>
      <c r="C13" s="1">
        <f>ស្ថិតិលទ្ធផលសិក្សាតាមនិទ្ទេស!F25</f>
        <v>11</v>
      </c>
      <c r="D13" s="1">
        <f>ស្ថិតិលទ្ធផលសិក្សាតាមនិទ្ទេស!G22</f>
        <v>14</v>
      </c>
      <c r="E13" s="1">
        <f>ស្ថិតិលទ្ធផលសិក្សាតាមនិទ្ទេស!H22</f>
        <v>5</v>
      </c>
      <c r="F13" s="1">
        <f>ស្ថិតិលទ្ធផលសិក្សាតាមនិទ្ទេស!I22</f>
        <v>0</v>
      </c>
      <c r="G13" s="1">
        <f>ស្ថិតិលទ្ធផលសិក្សាតាមនិទ្ទេស!J22</f>
        <v>0</v>
      </c>
      <c r="H13" s="1">
        <f>ស្ថិតិលទ្ធផលសិក្សាតាមនិទ្ទេស!K22</f>
        <v>0</v>
      </c>
      <c r="I13" s="1">
        <f>ស្ថិតិលទ្ធផលសិក្សាតាមនិទ្ទេស!L22</f>
        <v>0</v>
      </c>
      <c r="J13" s="1">
        <f>ស្ថិតិលទ្ធផលសិក្សាតាមនិទ្ទេស!M22</f>
        <v>2</v>
      </c>
      <c r="K13" s="1">
        <f>ស្ថិតិលទ្ធផលសិក្សាតាមនិទ្ទេស!N22</f>
        <v>0</v>
      </c>
      <c r="L13" s="1">
        <f>ស្ថិតិលទ្ធផលសិក្សាតាមនិទ្ទេស!O22</f>
        <v>2</v>
      </c>
      <c r="M13" s="1">
        <f>ស្ថិតិលទ្ធផលសិក្សាតាមនិទ្ទេស!P22</f>
        <v>2</v>
      </c>
      <c r="N13" s="1">
        <f>ស្ថិតិលទ្ធផលសិក្សាតាមនិទ្ទេស!Q22</f>
        <v>5</v>
      </c>
      <c r="O13" s="1">
        <f>ស្ថិតិលទ្ធផលសិក្សាតាមនិទ្ទេស!R22</f>
        <v>1</v>
      </c>
      <c r="P13" s="1">
        <f>ស្ថិតិលទ្ធផលសិក្សាតាមនិទ្ទេស!S22</f>
        <v>5</v>
      </c>
      <c r="Q13" s="1">
        <f>ស្ថិតិលទ្ធផលសិក្សាតាមនិទ្ទេស!T22</f>
        <v>2</v>
      </c>
      <c r="R13" s="1">
        <f>ស្ថិតិលទ្ធផលសិក្សាតាមនិទ្ទេស!U25</f>
        <v>3</v>
      </c>
      <c r="S13" s="1">
        <f>ស្ថិតិលទ្ធផលសិក្សាតាមនិទ្ទេស!V25</f>
        <v>0</v>
      </c>
    </row>
    <row r="14" spans="1:19" ht="19.5" customHeight="1" x14ac:dyDescent="0.25">
      <c r="A14" s="1" t="s">
        <v>137</v>
      </c>
      <c r="B14" s="1">
        <f>ស្ថិតិលទ្ធផលសិក្សាតាមនិទ្ទេស!E21</f>
        <v>80</v>
      </c>
      <c r="C14" s="1">
        <f>ស្ថិតិលទ្ធផលសិក្សាតាមនិទ្ទេស!F21</f>
        <v>56</v>
      </c>
      <c r="D14" s="1">
        <f>ស្ថិតិលទ្ធផលសិក្សាតាមនិទ្ទេស!G21</f>
        <v>80</v>
      </c>
      <c r="E14" s="1">
        <f>ស្ថិតិលទ្ធផលសិក្សាតាមនិទ្ទេស!H21</f>
        <v>56</v>
      </c>
      <c r="F14" s="1">
        <f>ស្ថិតិលទ្ធផលសិក្សាតាមនិទ្ទេស!I21</f>
        <v>0</v>
      </c>
      <c r="G14" s="1">
        <f>ស្ថិតិលទ្ធផលសិក្សាតាមនិទ្ទេស!J21</f>
        <v>0</v>
      </c>
      <c r="H14" s="1">
        <f>ស្ថិតិលទ្ធផលសិក្សាតាមនិទ្ទេស!K21</f>
        <v>1</v>
      </c>
      <c r="I14" s="1">
        <f>ស្ថិតិលទ្ធផលសិក្សាតាមនិទ្ទេស!L21</f>
        <v>0</v>
      </c>
      <c r="J14" s="1">
        <f>ស្ថិតិលទ្ធផលសិក្សាតាមនិទ្ទេស!M21</f>
        <v>28</v>
      </c>
      <c r="K14" s="1">
        <f>ស្ថិតិលទ្ធផលសិក្សាតាមនិទ្ទេស!N21</f>
        <v>20</v>
      </c>
      <c r="L14" s="1">
        <f>ស្ថិតិលទ្ធផលសិក្សាតាមនិទ្ទេស!O21</f>
        <v>29</v>
      </c>
      <c r="M14" s="1">
        <f>ស្ថិតិលទ្ធផលសិក្សាតាមនិទ្ទេស!P21</f>
        <v>21</v>
      </c>
      <c r="N14" s="1">
        <v>0</v>
      </c>
      <c r="O14" s="1">
        <f>ស្ថិតិលទ្ធផលសិក្សាតាមនិទ្ទេស!R21</f>
        <v>11</v>
      </c>
      <c r="P14" s="1">
        <f>ស្ថិតិលទ្ធផលសិក្សាតាមនិទ្ទេស!S21</f>
        <v>4</v>
      </c>
      <c r="Q14" s="1">
        <f>ស្ថិតិលទ្ធផលសិក្សាតាមនិទ្ទេស!T21</f>
        <v>4</v>
      </c>
      <c r="R14" s="1">
        <f>ស្ថិតិលទ្ធផលសិក្សាតាមនិទ្ទេស!U21</f>
        <v>0</v>
      </c>
      <c r="S14" s="1">
        <f>ស្ថិតិលទ្ធផលសិក្សាតាមនិទ្ទេស!V21</f>
        <v>0</v>
      </c>
    </row>
    <row r="15" spans="1:19" ht="16.149999999999999" hidden="1" customHeight="1" x14ac:dyDescent="0.25">
      <c r="A15" s="1" t="s">
        <v>68</v>
      </c>
      <c r="B15" s="1">
        <f>ស្ថិតិលទ្ធផលសិក្សាតាមនិទ្ទេស!E25</f>
        <v>25</v>
      </c>
      <c r="C15" s="1">
        <f>ស្ថិតិលទ្ធផលសិក្សាតាមនិទ្ទេស!F25</f>
        <v>11</v>
      </c>
      <c r="D15" s="1">
        <f>ស្ថិតិលទ្ធផលសិក្សាតាមនិទ្ទេស!G25</f>
        <v>14</v>
      </c>
      <c r="E15" s="1">
        <f>ស្ថិតិលទ្ធផលសិក្សាតាមនិទ្ទេស!H25</f>
        <v>5</v>
      </c>
      <c r="F15" s="1">
        <f>ស្ថិតិលទ្ធផលសិក្សាតាមនិទ្ទេស!I25</f>
        <v>0</v>
      </c>
      <c r="G15" s="1">
        <f>ស្ថិតិលទ្ធផលសិក្សាតាមនិទ្ទេស!J25</f>
        <v>0</v>
      </c>
      <c r="H15" s="1">
        <f>ស្ថិតិលទ្ធផលសិក្សាតាមនិទ្ទេស!K25</f>
        <v>0</v>
      </c>
      <c r="I15" s="1">
        <f>ស្ថិតិលទ្ធផលសិក្សាតាមនិទ្ទេស!L25</f>
        <v>0</v>
      </c>
      <c r="J15" s="1">
        <f>ស្ថិតិលទ្ធផលសិក្សាតាមនិទ្ទេស!M25</f>
        <v>2</v>
      </c>
      <c r="K15" s="1">
        <f>ស្ថិតិលទ្ធផលសិក្សាតាមនិទ្ទេស!N25</f>
        <v>0</v>
      </c>
      <c r="L15" s="1">
        <f>ស្ថិតិលទ្ធផលសិក្សាតាមនិទ្ទេស!O25</f>
        <v>2</v>
      </c>
      <c r="M15" s="1">
        <f>ស្ថិតិលទ្ធផលសិក្សាតាមនិទ្ទេស!P25</f>
        <v>2</v>
      </c>
      <c r="N15" s="1">
        <f>ស្ថិតិលទ្ធផលសិក្សាតាមនិទ្ទេស!Q25</f>
        <v>5</v>
      </c>
      <c r="O15" s="1">
        <f>ស្ថិតិលទ្ធផលសិក្សាតាមនិទ្ទេស!R25</f>
        <v>1</v>
      </c>
      <c r="P15" s="1">
        <f>ស្ថិតិលទ្ធផលសិក្សាតាមនិទ្ទេស!S25</f>
        <v>5</v>
      </c>
      <c r="Q15" s="1">
        <f>ស្ថិតិលទ្ធផលសិក្សាតាមនិទ្ទេស!T25</f>
        <v>2</v>
      </c>
      <c r="R15" s="1">
        <f>ស្ថិតិលទ្ធផលសិក្សាតាមនិទ្ទេស!U25</f>
        <v>3</v>
      </c>
      <c r="S15" s="1">
        <f>ស្ថិតិលទ្ធផលសិក្សាតាមនិទ្ទេស!V25</f>
        <v>0</v>
      </c>
    </row>
    <row r="16" spans="1:19" ht="16.149999999999999" hidden="1" customHeight="1" x14ac:dyDescent="0.25">
      <c r="A16" s="1" t="s">
        <v>69</v>
      </c>
      <c r="B16" s="1">
        <f>ស្ថិតិលទ្ធផលសិក្សាតាមនិទ្ទេស!E29</f>
        <v>0</v>
      </c>
      <c r="C16" s="1">
        <f>ស្ថិតិលទ្ធផលសិក្សាតាមនិទ្ទេស!F29</f>
        <v>0</v>
      </c>
      <c r="D16" s="1">
        <f>ស្ថិតិលទ្ធផលសិក្សាតាមនិទ្ទេស!G29</f>
        <v>0</v>
      </c>
      <c r="E16" s="1">
        <f>ស្ថិតិលទ្ធផលសិក្សាតាមនិទ្ទេស!H29</f>
        <v>0</v>
      </c>
      <c r="F16" s="1">
        <f>ស្ថិតិលទ្ធផលសិក្សាតាមនិទ្ទេស!I29</f>
        <v>0</v>
      </c>
      <c r="G16" s="1">
        <f>ស្ថិតិលទ្ធផលសិក្សាតាមនិទ្ទេស!J29</f>
        <v>0</v>
      </c>
      <c r="H16" s="1">
        <f>ស្ថិតិលទ្ធផលសិក្សាតាមនិទ្ទេស!K29</f>
        <v>0</v>
      </c>
      <c r="I16" s="1">
        <f>ស្ថិតិលទ្ធផលសិក្សាតាមនិទ្ទេស!L29</f>
        <v>0</v>
      </c>
      <c r="J16" s="1">
        <f>ស្ថិតិលទ្ធផលសិក្សាតាមនិទ្ទេស!M29</f>
        <v>0</v>
      </c>
      <c r="K16" s="1">
        <f>ស្ថិតិលទ្ធផលសិក្សាតាមនិទ្ទេស!N29</f>
        <v>0</v>
      </c>
      <c r="L16" s="1">
        <f>ស្ថិតិលទ្ធផលសិក្សាតាមនិទ្ទេស!O29</f>
        <v>0</v>
      </c>
      <c r="M16" s="1">
        <f>ស្ថិតិលទ្ធផលសិក្សាតាមនិទ្ទេស!P29</f>
        <v>0</v>
      </c>
      <c r="N16" s="1">
        <f>ស្ថិតិលទ្ធផលសិក្សាតាមនិទ្ទេស!Q29</f>
        <v>0</v>
      </c>
      <c r="O16" s="1">
        <f>ស្ថិតិលទ្ធផលសិក្សាតាមនិទ្ទេស!R29</f>
        <v>0</v>
      </c>
      <c r="P16" s="1">
        <f>ស្ថិតិលទ្ធផលសិក្សាតាមនិទ្ទេស!S29</f>
        <v>0</v>
      </c>
      <c r="Q16" s="1">
        <f>ស្ថិតិលទ្ធផលសិក្សាតាមនិទ្ទេស!T29</f>
        <v>0</v>
      </c>
      <c r="R16" s="1">
        <f>ស្ថិតិលទ្ធផលសិក្សាតាមនិទ្ទេស!U29</f>
        <v>0</v>
      </c>
      <c r="S16" s="1">
        <f>ស្ថិតិលទ្ធផលសិក្សាតាមនិទ្ទេស!V29</f>
        <v>0</v>
      </c>
    </row>
    <row r="17" spans="10:21" ht="21" customHeight="1" x14ac:dyDescent="0.25"/>
    <row r="29" spans="10:21" ht="25.5" customHeight="1" x14ac:dyDescent="0.25"/>
    <row r="30" spans="10:21" ht="27.75" customHeight="1" x14ac:dyDescent="0.65">
      <c r="J30" s="324" t="str">
        <f>ក្រាបលទ្ធផលការសិក្សា!J72</f>
        <v>ថ្ងៃអង្គារ  ១៣កើត ខែចេត្រ ឆ្នាំម្សាញ់ សប្តស័ក ព.ស ២៥៦៩</v>
      </c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</row>
    <row r="31" spans="10:21" ht="23.25" x14ac:dyDescent="0.65">
      <c r="J31" s="324" t="str">
        <f>អគ្គិសនី១!P49</f>
        <v>ធ្វើនៅដុនបូស្កូប៉ោយប៉ែត ថ្ងៃទី៣១ខែ មីនាឆ្នាំ ២០២៦</v>
      </c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</row>
    <row r="32" spans="10:21" ht="23.25" x14ac:dyDescent="0.65">
      <c r="J32" s="321" t="s">
        <v>16</v>
      </c>
      <c r="K32" s="321"/>
      <c r="L32" s="321"/>
      <c r="M32" s="321"/>
      <c r="N32" s="321"/>
      <c r="O32" s="321"/>
      <c r="P32" s="321"/>
      <c r="Q32" s="321"/>
      <c r="R32" s="321"/>
      <c r="S32" s="321"/>
      <c r="T32" s="321"/>
    </row>
  </sheetData>
  <mergeCells count="27">
    <mergeCell ref="A1:S1"/>
    <mergeCell ref="A2:S2"/>
    <mergeCell ref="A3:S3"/>
    <mergeCell ref="A9:A11"/>
    <mergeCell ref="A8:H8"/>
    <mergeCell ref="A7:S7"/>
    <mergeCell ref="B9:C10"/>
    <mergeCell ref="D9:G9"/>
    <mergeCell ref="D10:E10"/>
    <mergeCell ref="F10:G10"/>
    <mergeCell ref="H10:I10"/>
    <mergeCell ref="Q4:S4"/>
    <mergeCell ref="A4:J4"/>
    <mergeCell ref="K4:N4"/>
    <mergeCell ref="A5:J5"/>
    <mergeCell ref="K5:N5"/>
    <mergeCell ref="A6:J6"/>
    <mergeCell ref="K6:N6"/>
    <mergeCell ref="J30:U30"/>
    <mergeCell ref="J31:U31"/>
    <mergeCell ref="J32:T32"/>
    <mergeCell ref="L10:M10"/>
    <mergeCell ref="N10:O10"/>
    <mergeCell ref="P10:Q10"/>
    <mergeCell ref="J10:K10"/>
    <mergeCell ref="R9:S10"/>
    <mergeCell ref="H9:Q9"/>
  </mergeCells>
  <printOptions horizontalCentered="1"/>
  <pageMargins left="0.25" right="0.25" top="0.36" bottom="0.15" header="0.3" footer="0.16"/>
  <pageSetup paperSize="9" orientation="landscape" r:id="rId1"/>
  <ignoredErrors>
    <ignoredError sqref="R14:S14 C14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ស្ថិតិលទ្ធផលសិក្សាតាមនិទ្ទេស</vt:lpstr>
      <vt:lpstr>ប្រៀបធៀបលទ្ធផលសរុប</vt:lpstr>
      <vt:lpstr>មេកានិច១</vt:lpstr>
      <vt:lpstr>អគ្គិសនី១</vt:lpstr>
      <vt:lpstr>កុំព្យទ័រ១</vt:lpstr>
      <vt:lpstr>មេកានិច២</vt:lpstr>
      <vt:lpstr>អគ្គិសនី២</vt:lpstr>
      <vt:lpstr>កុំព្យូទ័រ២</vt:lpstr>
      <vt:lpstr>អគ្គិសនី៣</vt:lpstr>
      <vt:lpstr>កុំព្យទ័រ៣</vt:lpstr>
      <vt:lpstr>ក្រាបលទ្ធផលការសិក្សា</vt:lpstr>
      <vt:lpstr>ក្រាបលទ្ធផលសរុប</vt:lpstr>
      <vt:lpstr>កុំព្យទ័រ១!Print_Area</vt:lpstr>
      <vt:lpstr>កុំព្យទ័រ៣!Print_Area</vt:lpstr>
      <vt:lpstr>មេកានិច១!Print_Area</vt:lpstr>
      <vt:lpstr>មេកានិច២!Print_Area</vt:lpstr>
      <vt:lpstr>ស្ថិតិលទ្ធផលសិក្សាតាមនិទ្ទេស!Print_Area</vt:lpstr>
      <vt:lpstr>អគ្គិសនី១!Print_Area</vt:lpstr>
      <vt:lpstr>អគ្គិសនី៣!Print_Area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Sophaneth Sy</cp:lastModifiedBy>
  <cp:lastPrinted>2026-04-09T13:40:36Z</cp:lastPrinted>
  <dcterms:created xsi:type="dcterms:W3CDTF">2021-07-12T07:23:34Z</dcterms:created>
  <dcterms:modified xsi:type="dcterms:W3CDTF">2026-07-10T18:40:35Z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2024-02-12T03:55:55Z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c06b3de7-1394-43d8-a3df-46d9424012e7</vt:lpwstr>
  </property>
  <property fmtid="{D5CDD505-2E9C-101B-9397-08002B2CF9AE}" pid="7" name="MSIP_Label_defa4170-0d19-0005-0004-bc88714345d2_ActionId">
    <vt:lpwstr>5b26280f-918a-4c88-98bf-7a5307c85bb6</vt:lpwstr>
  </property>
  <property fmtid="{D5CDD505-2E9C-101B-9397-08002B2CF9AE}" pid="8" name="MSIP_Label_defa4170-0d19-0005-0004-bc88714345d2_ContentBits">
    <vt:lpwstr>0</vt:lpwstr>
  </property>
</Properties>
</file>